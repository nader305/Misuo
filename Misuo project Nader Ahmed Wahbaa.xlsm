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b22e5cfef214e1fc/Desktop/Excel tasks/My portofolio/misuo project Nader Ahmed Wahbaa Mahmoud/"/>
    </mc:Choice>
  </mc:AlternateContent>
  <xr:revisionPtr revIDLastSave="0" documentId="13_ncr:1_{D83B8DB6-2518-4438-957A-32C6F7104922}" xr6:coauthVersionLast="47" xr6:coauthVersionMax="47" xr10:uidLastSave="{00000000-0000-0000-0000-000000000000}"/>
  <bookViews>
    <workbookView xWindow="-108" yWindow="-108" windowWidth="23256" windowHeight="12576" tabRatio="836" activeTab="6" xr2:uid="{C372D0B1-FB2E-4BAC-A6A6-C866E1BC044A}"/>
  </bookViews>
  <sheets>
    <sheet name="intro page" sheetId="1" r:id="rId1"/>
    <sheet name="Sheet1" sheetId="11" r:id="rId2"/>
    <sheet name="ask-question" sheetId="4" r:id="rId3"/>
    <sheet name="Data Source" sheetId="10" r:id="rId4"/>
    <sheet name="instructions" sheetId="7" r:id="rId5"/>
    <sheet name="Dashboard -Light" sheetId="6" state="hidden" r:id="rId6"/>
    <sheet name="Dashboard" sheetId="2" r:id="rId7"/>
  </sheets>
  <definedNames>
    <definedName name="ExternalData_2" localSheetId="3" hidden="1">'Data Source'!$B$1:$AD$119</definedName>
    <definedName name="Slicer_شهر_الطلب">#N/A</definedName>
    <definedName name="Slicer_نوع_المنتج">#N/A</definedName>
  </definedNames>
  <calcPr calcId="191029"/>
  <pivotCaches>
    <pivotCache cacheId="43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 i="10" l="1"/>
  <c r="T3"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AC2" i="10"/>
  <c r="AC3" i="10"/>
  <c r="AC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C43" i="10"/>
  <c r="AC44" i="10"/>
  <c r="AC45" i="10"/>
  <c r="AC46" i="10"/>
  <c r="AC47" i="10"/>
  <c r="AC48" i="10"/>
  <c r="AC49" i="10"/>
  <c r="AC50" i="10"/>
  <c r="AC51" i="10"/>
  <c r="AC52" i="10"/>
  <c r="AC53" i="10"/>
  <c r="AC54" i="10"/>
  <c r="AC55" i="10"/>
  <c r="AC56" i="10"/>
  <c r="AC57" i="10"/>
  <c r="AC58" i="10"/>
  <c r="AC59" i="10"/>
  <c r="AC60" i="10"/>
  <c r="AC61" i="10"/>
  <c r="AC62" i="10"/>
  <c r="AC63" i="10"/>
  <c r="AC64" i="10"/>
  <c r="AC65" i="10"/>
  <c r="AC66" i="10"/>
  <c r="AC67" i="10"/>
  <c r="AC68" i="10"/>
  <c r="AC69" i="10"/>
  <c r="AC70" i="10"/>
  <c r="AC71" i="10"/>
  <c r="AC72" i="10"/>
  <c r="AC73" i="10"/>
  <c r="AC74" i="10"/>
  <c r="AC75" i="10"/>
  <c r="AC76" i="10"/>
  <c r="AC77" i="10"/>
  <c r="AC78" i="10"/>
  <c r="AC79" i="10"/>
  <c r="AC80" i="10"/>
  <c r="AC81" i="10"/>
  <c r="AC82" i="10"/>
  <c r="AC83" i="10"/>
  <c r="AC84" i="10"/>
  <c r="AC85" i="10"/>
  <c r="AC86" i="10"/>
  <c r="AC87" i="10"/>
  <c r="AC88" i="10"/>
  <c r="AC89" i="10"/>
  <c r="AC90" i="10"/>
  <c r="AC91" i="10"/>
  <c r="AC92" i="10"/>
  <c r="AC93" i="10"/>
  <c r="AC94" i="10"/>
  <c r="AC95" i="10"/>
  <c r="AC96" i="10"/>
  <c r="AC97" i="10"/>
  <c r="AC98" i="10"/>
  <c r="AC99" i="10"/>
  <c r="AC100" i="10"/>
  <c r="AC101" i="10"/>
  <c r="AC102" i="10"/>
  <c r="AC103" i="10"/>
  <c r="AC104" i="10"/>
  <c r="AC105" i="10"/>
  <c r="AC106" i="10"/>
  <c r="AC107" i="10"/>
  <c r="AC108" i="10"/>
  <c r="AC109" i="10"/>
  <c r="AC110" i="10"/>
  <c r="AC111" i="10"/>
  <c r="AC112" i="10"/>
  <c r="AC113" i="10"/>
  <c r="AC114" i="10"/>
  <c r="AC115" i="10"/>
  <c r="AC116" i="10"/>
  <c r="AC117" i="10"/>
  <c r="AC118" i="10"/>
  <c r="AC119"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8D7A9C-3AB1-4F9C-9FBF-28FBEF124308}"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7D81EDB7-EDEE-49EF-A786-4D4E2C57201A}" keepAlive="1" name="Query - Data (2)" description="Connection to the 'Data (2)' query in the workbook." type="5" refreshedVersion="8" background="1" saveData="1">
    <dbPr connection="Provider=Microsoft.Mashup.OleDb.1;Data Source=$Workbook$;Location=&quot;Data (2)&quot;;Extended Properties=&quot;&quot;" command="SELECT * FROM [Data (2)]"/>
  </connection>
  <connection id="3" xr16:uid="{366BCF38-9649-4EF7-8F0F-026F57A4D220}" keepAlive="1" name="Query - Table2" description="Connection to the 'Table2' query in the workbook." type="5" refreshedVersion="8" background="1" saveData="1">
    <dbPr connection="Provider=Microsoft.Mashup.OleDb.1;Data Source=$Workbook$;Location=Table2;Extended Properties=&quot;&quot;" command="SELECT * FROM [Table2]"/>
  </connection>
</connections>
</file>

<file path=xl/sharedStrings.xml><?xml version="1.0" encoding="utf-8"?>
<sst xmlns="http://schemas.openxmlformats.org/spreadsheetml/2006/main" count="3358" uniqueCount="301">
  <si>
    <t>Row Labels</t>
  </si>
  <si>
    <t>Grand Total</t>
  </si>
  <si>
    <t>مسيو</t>
  </si>
  <si>
    <t>رقم العملية</t>
  </si>
  <si>
    <t>رقم الطلب</t>
  </si>
  <si>
    <t>العنوان</t>
  </si>
  <si>
    <t>المحافظة</t>
  </si>
  <si>
    <t>إسم المنتج</t>
  </si>
  <si>
    <t>نوع المنتج</t>
  </si>
  <si>
    <t>لون المعدن</t>
  </si>
  <si>
    <t>المنتج</t>
  </si>
  <si>
    <t xml:space="preserve">سعر البيع </t>
  </si>
  <si>
    <t xml:space="preserve">طريقه الدفع </t>
  </si>
  <si>
    <t>ميعاد الطلب</t>
  </si>
  <si>
    <t>ميعاد التسليم</t>
  </si>
  <si>
    <t>تاريخ التسليم</t>
  </si>
  <si>
    <t>المسئول عن التسليم</t>
  </si>
  <si>
    <t>الحالة</t>
  </si>
  <si>
    <t>فرق التسليم</t>
  </si>
  <si>
    <t>حاله التسليم</t>
  </si>
  <si>
    <t xml:space="preserve">العجوزه </t>
  </si>
  <si>
    <t>هومزمارت</t>
  </si>
  <si>
    <t>سرير</t>
  </si>
  <si>
    <t>منطبق</t>
  </si>
  <si>
    <t>ابيض</t>
  </si>
  <si>
    <t xml:space="preserve">سرير منطبق الحديد ابيض والقماش ابيض </t>
  </si>
  <si>
    <t>حساب شخصى</t>
  </si>
  <si>
    <t>شركة الشحن</t>
  </si>
  <si>
    <t>تم التسليم</t>
  </si>
  <si>
    <t>تم التسليم بعد الميعاد</t>
  </si>
  <si>
    <t>محمود</t>
  </si>
  <si>
    <t xml:space="preserve">سموحه </t>
  </si>
  <si>
    <t>الأسكندرية</t>
  </si>
  <si>
    <t>اسود</t>
  </si>
  <si>
    <t xml:space="preserve">سرير منطبق اسود والقماش اسود </t>
  </si>
  <si>
    <t>سعيد</t>
  </si>
  <si>
    <t xml:space="preserve">سيدى عبد الرحمن - الساحل الشمالى </t>
  </si>
  <si>
    <t>مطروح</t>
  </si>
  <si>
    <t>دورين</t>
  </si>
  <si>
    <t>ازرق</t>
  </si>
  <si>
    <t xml:space="preserve">سرير كيفينج مقاس 90 لون ازرق </t>
  </si>
  <si>
    <t xml:space="preserve">فشل التسليم </t>
  </si>
  <si>
    <t>فشل التسليم</t>
  </si>
  <si>
    <t>ساندرا</t>
  </si>
  <si>
    <t xml:space="preserve">الغردقه </t>
  </si>
  <si>
    <t>الغردقة</t>
  </si>
  <si>
    <t>ترابيزه</t>
  </si>
  <si>
    <t>بمكتبة</t>
  </si>
  <si>
    <t xml:space="preserve">ترابيزه قهوه متحركه </t>
  </si>
  <si>
    <t>تم التسليم قبل الميعاد</t>
  </si>
  <si>
    <t>رمادى</t>
  </si>
  <si>
    <t xml:space="preserve">سرير نوفال متر رمادى </t>
  </si>
  <si>
    <t>مخزن شيك هومز</t>
  </si>
  <si>
    <t>القاهرة</t>
  </si>
  <si>
    <t>4*1</t>
  </si>
  <si>
    <t xml:space="preserve">كنبه سرير رمادى </t>
  </si>
  <si>
    <t>حساب شركه</t>
  </si>
  <si>
    <t>التجمع الخامس</t>
  </si>
  <si>
    <t>فيسبوك</t>
  </si>
  <si>
    <t>يالماز</t>
  </si>
  <si>
    <t>أكتوبر  الجيزة</t>
  </si>
  <si>
    <t>فردى</t>
  </si>
  <si>
    <t xml:space="preserve">سرير فردى ابيض </t>
  </si>
  <si>
    <t>العباسيه</t>
  </si>
  <si>
    <t>ركنة</t>
  </si>
  <si>
    <t>ركنة بسرير</t>
  </si>
  <si>
    <t xml:space="preserve">ركنه </t>
  </si>
  <si>
    <t>محمود على</t>
  </si>
  <si>
    <t xml:space="preserve">العباسيه </t>
  </si>
  <si>
    <t>كنبه</t>
  </si>
  <si>
    <t>سحارة</t>
  </si>
  <si>
    <t xml:space="preserve">٢ كنبه سحاره بدون مخدع </t>
  </si>
  <si>
    <t>مصر الجديده</t>
  </si>
  <si>
    <t>سرير نوفال ابيض مقاس ٨٠</t>
  </si>
  <si>
    <t xml:space="preserve">أكتوبر </t>
  </si>
  <si>
    <t>سرير فردى خشب موسكى الحديد ابيض مقاس ٨٠</t>
  </si>
  <si>
    <t>لاغى</t>
  </si>
  <si>
    <t xml:space="preserve">المقطم </t>
  </si>
  <si>
    <t>2 ميكانزم</t>
  </si>
  <si>
    <t xml:space="preserve">ترابيزه قهوه علويه جديده </t>
  </si>
  <si>
    <t xml:space="preserve">التجمع الخامس </t>
  </si>
  <si>
    <t xml:space="preserve">٢ سرير كيفنج ١٢٠ اسود </t>
  </si>
  <si>
    <t>الكافى</t>
  </si>
  <si>
    <t xml:space="preserve">مدينه نصر </t>
  </si>
  <si>
    <t xml:space="preserve">سرير كينج ابيض مقاس ٨٠ التصميم الجديد </t>
  </si>
  <si>
    <t xml:space="preserve"> القاهرة الجديده</t>
  </si>
  <si>
    <t>٤سرير فردى خشب موسكى الحديد ابيض مقاس ٨٠</t>
  </si>
  <si>
    <t>كرسى</t>
  </si>
  <si>
    <t>فنسيا</t>
  </si>
  <si>
    <t xml:space="preserve">٢ فوتيه فنسيا </t>
  </si>
  <si>
    <t>صفاء</t>
  </si>
  <si>
    <t>المعادى</t>
  </si>
  <si>
    <t>حسن حازم</t>
  </si>
  <si>
    <t>سرير اسبانى ابيض ١٢٠</t>
  </si>
  <si>
    <t xml:space="preserve">سرير كينج ابيض </t>
  </si>
  <si>
    <t>شيك هومز</t>
  </si>
  <si>
    <t xml:space="preserve">سرير كينج اسود </t>
  </si>
  <si>
    <t>اوسكار راتن</t>
  </si>
  <si>
    <t xml:space="preserve">مخزن اوسكار في القناطر </t>
  </si>
  <si>
    <t>القليوبية</t>
  </si>
  <si>
    <t xml:space="preserve"> سريرفورجينا خشب موسكى ابيض مقاس ١٢٠</t>
  </si>
  <si>
    <t xml:space="preserve">٢ سرير ارفيل ١٢٠ اسود </t>
  </si>
  <si>
    <t>صفاء الحكيم</t>
  </si>
  <si>
    <t>العين السخنه</t>
  </si>
  <si>
    <t>السويس</t>
  </si>
  <si>
    <t>سرير منطببق اسود وقماش اسود</t>
  </si>
  <si>
    <t>يوسف شناوى</t>
  </si>
  <si>
    <t xml:space="preserve">الابراهيميه . الإسكندرية </t>
  </si>
  <si>
    <t>رف سحاب</t>
  </si>
  <si>
    <t xml:space="preserve">ترابيزه قهوه علويه برف سحاب </t>
  </si>
  <si>
    <t>سرير منطبق اسود حديد وقماش</t>
  </si>
  <si>
    <t xml:space="preserve">القطاميه </t>
  </si>
  <si>
    <t>عبير نور الدين</t>
  </si>
  <si>
    <t xml:space="preserve">١٨ شارع البحيري بولاق الدكرور  الجيزة </t>
  </si>
  <si>
    <t>ثلاثه ادوار</t>
  </si>
  <si>
    <t xml:space="preserve">سرير ٣ ادورا اسود مقاس ١٠٠ </t>
  </si>
  <si>
    <t>سرير اسبانى اسود مقاس ١٢٠</t>
  </si>
  <si>
    <t>وائل صادق</t>
  </si>
  <si>
    <t>دهبي</t>
  </si>
  <si>
    <t xml:space="preserve">سرير كوين مقاس ١٤٠ دهبي ورمادى </t>
  </si>
  <si>
    <t>الجيزة</t>
  </si>
  <si>
    <t xml:space="preserve">سرير كيفنج ١٢٠ رمادى </t>
  </si>
  <si>
    <t xml:space="preserve">الشروق  القاهرة </t>
  </si>
  <si>
    <t xml:space="preserve">سرير نوفال  ٩٠ اسود </t>
  </si>
  <si>
    <t xml:space="preserve">حدايق الاهرام </t>
  </si>
  <si>
    <t xml:space="preserve">            ٢ سرير كيفنج ١٠٠ اسود </t>
  </si>
  <si>
    <t>الشروق</t>
  </si>
  <si>
    <t xml:space="preserve">سرير ٣ ادوار ابيض مقاس ٨٠ ابيض </t>
  </si>
  <si>
    <t xml:space="preserve">سرير كيفنج دورين مقاس ٨٠ ابيض </t>
  </si>
  <si>
    <t xml:space="preserve">لافيستا العين السخنه </t>
  </si>
  <si>
    <t>سرير استيل ازرق مقاس ١٤٠</t>
  </si>
  <si>
    <t>بنفسجى</t>
  </si>
  <si>
    <t xml:space="preserve">سرير كينج ١٢٠ بنفسجى </t>
  </si>
  <si>
    <t xml:space="preserve"> القاهرة الجديده </t>
  </si>
  <si>
    <t xml:space="preserve">كنبه سرير ٤ حركه </t>
  </si>
  <si>
    <t xml:space="preserve">سرير ٣ ادوار اسود مقاس ٩٠ </t>
  </si>
  <si>
    <t>فيصل  الجيزة</t>
  </si>
  <si>
    <t>ترابيزه قهوه ٢ رافع</t>
  </si>
  <si>
    <t>ميار خورشد</t>
  </si>
  <si>
    <t xml:space="preserve">سرير منطبق اسود حديد ومعدن </t>
  </si>
  <si>
    <t xml:space="preserve">الشيخ زايد ٦ اكتوبر </t>
  </si>
  <si>
    <t xml:space="preserve">سرير اسبانى  ١٤٠ اسود وبيج </t>
  </si>
  <si>
    <t xml:space="preserve">ترابيزه قهوه مرتفعه برف سحاب </t>
  </si>
  <si>
    <t>الرحاب</t>
  </si>
  <si>
    <t xml:space="preserve"> سرير فورجينا ابيض مقاس ١٢٠</t>
  </si>
  <si>
    <t>ساره</t>
  </si>
  <si>
    <t xml:space="preserve">  سرير اسبانى ابيض ١٢٠</t>
  </si>
  <si>
    <t xml:space="preserve"> سرير اسبانى ابيض ١٢٠</t>
  </si>
  <si>
    <t>العبور</t>
  </si>
  <si>
    <t xml:space="preserve">اسيوط </t>
  </si>
  <si>
    <t>أسيوط</t>
  </si>
  <si>
    <t xml:space="preserve">سرير كيفنج دورين مقاس ١٢٠ رمادى </t>
  </si>
  <si>
    <t>حسام عبدون</t>
  </si>
  <si>
    <t>الغردقه</t>
  </si>
  <si>
    <t xml:space="preserve">سرير نوفال ١٠٠ رمادى </t>
  </si>
  <si>
    <t>رحاب</t>
  </si>
  <si>
    <t xml:space="preserve">سرير نوفال مقاس ٨٠ ابيض </t>
  </si>
  <si>
    <t>محمد</t>
  </si>
  <si>
    <t>سرير كيفنج دورين ابيض مقاس ٨٠</t>
  </si>
  <si>
    <t>محمد أيمن</t>
  </si>
  <si>
    <t>مدينة بدر</t>
  </si>
  <si>
    <t>اسامه</t>
  </si>
  <si>
    <t xml:space="preserve">ترابيزه </t>
  </si>
  <si>
    <t>المخزن ابوالغيط</t>
  </si>
  <si>
    <t>ملون</t>
  </si>
  <si>
    <t>سرير كيفنج دورين ابيض مقاس ١٠٠</t>
  </si>
  <si>
    <t>ولاء بدوى</t>
  </si>
  <si>
    <t>سرير فردى</t>
  </si>
  <si>
    <t>عبد الرحمن يسري</t>
  </si>
  <si>
    <t>ترابيزه رف سحاب</t>
  </si>
  <si>
    <t>التجمع</t>
  </si>
  <si>
    <t>كنبه 4*1</t>
  </si>
  <si>
    <t>سرير دورين</t>
  </si>
  <si>
    <t>تم التسليم فى الميعاد</t>
  </si>
  <si>
    <t>الحج محمد السويس</t>
  </si>
  <si>
    <t xml:space="preserve">السويس </t>
  </si>
  <si>
    <t>الحج سيد</t>
  </si>
  <si>
    <t>سرير منطبق</t>
  </si>
  <si>
    <t>كنبه فنسيا</t>
  </si>
  <si>
    <t>عمرو الأسود</t>
  </si>
  <si>
    <t>الزمالك</t>
  </si>
  <si>
    <t>كيرا</t>
  </si>
  <si>
    <t>بينك</t>
  </si>
  <si>
    <t>طارق</t>
  </si>
  <si>
    <t>ريم</t>
  </si>
  <si>
    <t>البطاش اسكندريه</t>
  </si>
  <si>
    <t>هشام سامى</t>
  </si>
  <si>
    <t>41 كومبوند جولدن جستس الدور 4 شقه 4</t>
  </si>
  <si>
    <t>المعرض مدينه نصر</t>
  </si>
  <si>
    <t>مرفوض</t>
  </si>
  <si>
    <t>فاطمه محمد</t>
  </si>
  <si>
    <t>الشيخ زايد اكتوبر</t>
  </si>
  <si>
    <t>مدينتى</t>
  </si>
  <si>
    <t>حماده</t>
  </si>
  <si>
    <t>صفاء عبد الباقي</t>
  </si>
  <si>
    <t xml:space="preserve">المخزن ابوالغيط </t>
  </si>
  <si>
    <t>المخزن</t>
  </si>
  <si>
    <t>محمد حمدى</t>
  </si>
  <si>
    <t xml:space="preserve">شبرا </t>
  </si>
  <si>
    <t>t1</t>
  </si>
  <si>
    <t>كنبه t1</t>
  </si>
  <si>
    <t xml:space="preserve"> م محمد </t>
  </si>
  <si>
    <t>رنا ميلاد</t>
  </si>
  <si>
    <t xml:space="preserve">جليم الإسكندرية </t>
  </si>
  <si>
    <t>محمد ناجى</t>
  </si>
  <si>
    <t>ترابيزه دوران</t>
  </si>
  <si>
    <t>احمد عبد الستار</t>
  </si>
  <si>
    <t>المندره اسكندريه</t>
  </si>
  <si>
    <t>نور</t>
  </si>
  <si>
    <t>تامر</t>
  </si>
  <si>
    <t>ترابيزه 2 ميكانزم</t>
  </si>
  <si>
    <t>هناء اسامه</t>
  </si>
  <si>
    <t>القطاميه</t>
  </si>
  <si>
    <t>مريم عنان</t>
  </si>
  <si>
    <t xml:space="preserve">اب تاون كايرو التجمع </t>
  </si>
  <si>
    <t>دوران</t>
  </si>
  <si>
    <t>حمدى ذكرى</t>
  </si>
  <si>
    <t>سرير نوفال دورين اسود مقاس ٨٠</t>
  </si>
  <si>
    <t>كنبه سرير اسود</t>
  </si>
  <si>
    <t xml:space="preserve"> قم بتصميم Dashboard</t>
  </si>
  <si>
    <t xml:space="preserve">معتمدا علي الهدف الأساسي المتمثل في " تحديد المنتجات الأعلى والأقل مبيعًا " </t>
  </si>
  <si>
    <t>مستندا الي  KPIS الأساسية :</t>
  </si>
  <si>
    <t>إجمالي المبيعات (Total Sales)</t>
  </si>
  <si>
    <t xml:space="preserve">عدد الطلبات (Total Orders) </t>
  </si>
  <si>
    <t>متوسط سعر البيع (Average Selling Price)</t>
  </si>
  <si>
    <t>عدد المنتجات المباعة حسب المنصة (Sales by Platform)</t>
  </si>
  <si>
    <t xml:space="preserve">المنتج الأكثر مبيعا   Best  Seller </t>
  </si>
  <si>
    <t xml:space="preserve">اللون الأكثر مبيعا Best Color sold </t>
  </si>
  <si>
    <t>نسبة الطلبات المسلمة في الموعد (On-time Delivery Rate).</t>
  </si>
  <si>
    <t>نسبة الطلبات  الملغاة التي لم تتسلم (Delivery Status Breakdown)</t>
  </si>
  <si>
    <t>المدينة الأكثر مبيعا   (Orders by Area).</t>
  </si>
  <si>
    <t xml:space="preserve">عدد الأفراد والشركات التي تتعامل معها شركة مسيو </t>
  </si>
  <si>
    <t>اوسكار ريتن</t>
  </si>
  <si>
    <t>كيمت</t>
  </si>
  <si>
    <t>تاكي</t>
  </si>
  <si>
    <t>منزلي</t>
  </si>
  <si>
    <t>منصة البيع</t>
  </si>
  <si>
    <t>شخص</t>
  </si>
  <si>
    <t>إسم العميل</t>
  </si>
  <si>
    <t>خالد عبد القوى</t>
  </si>
  <si>
    <t>زينا</t>
  </si>
  <si>
    <t>احمد</t>
  </si>
  <si>
    <t>على رشوان</t>
  </si>
  <si>
    <t>احمد فخرى</t>
  </si>
  <si>
    <t>لينا</t>
  </si>
  <si>
    <t>فيصل نعيم</t>
  </si>
  <si>
    <t>حاتم العيسوي</t>
  </si>
  <si>
    <t>رنا</t>
  </si>
  <si>
    <t>اسراء ابو العنين</t>
  </si>
  <si>
    <t>حسن مغرب</t>
  </si>
  <si>
    <t>على السيد</t>
  </si>
  <si>
    <t>هشام بسيونى</t>
  </si>
  <si>
    <t>ساره وجيه</t>
  </si>
  <si>
    <t>مها</t>
  </si>
  <si>
    <t>بسام الشربينى</t>
  </si>
  <si>
    <t>هبه عبد الفتاح</t>
  </si>
  <si>
    <t>اسراء ابراهيم</t>
  </si>
  <si>
    <t>طارق كمال</t>
  </si>
  <si>
    <t>ديفد بهجت</t>
  </si>
  <si>
    <t>اياد</t>
  </si>
  <si>
    <t>عبد الله سيد</t>
  </si>
  <si>
    <t>كينج سونا</t>
  </si>
  <si>
    <t>احمد خالد</t>
  </si>
  <si>
    <t>احمد ايمن</t>
  </si>
  <si>
    <t>مصطفي غنيم</t>
  </si>
  <si>
    <t>رامى</t>
  </si>
  <si>
    <t>فؤاد المنسي</t>
  </si>
  <si>
    <t>بولا</t>
  </si>
  <si>
    <t>محمد شكرى</t>
  </si>
  <si>
    <t>رندا العامرى</t>
  </si>
  <si>
    <t>بافلى هانى</t>
  </si>
  <si>
    <t>محمد عادل</t>
  </si>
  <si>
    <t>هبه عطيه</t>
  </si>
  <si>
    <t>نبيتى</t>
  </si>
  <si>
    <t>count of orders</t>
  </si>
  <si>
    <t>Average of sales</t>
  </si>
  <si>
    <t>% of status</t>
  </si>
  <si>
    <t>نوع العميل</t>
  </si>
  <si>
    <t>شركة</t>
  </si>
  <si>
    <t>نوع العميل بدون تكرار</t>
  </si>
  <si>
    <t>إجمالى المبيعات</t>
  </si>
  <si>
    <t>Sum of إجمالى المبيعات</t>
  </si>
  <si>
    <t>جميع الكميات</t>
  </si>
  <si>
    <t>الكميات المباعه</t>
  </si>
  <si>
    <t>Sum of الكميات المباعه</t>
  </si>
  <si>
    <t>Sum of نوع العميل بدون تكرار</t>
  </si>
  <si>
    <t>المبيعات الملغاه</t>
  </si>
  <si>
    <t>كميات المبيعات الملغاه</t>
  </si>
  <si>
    <t>Sum of كميات المبيعات الملغاه</t>
  </si>
  <si>
    <t>Sum of المبيعات الملغاه</t>
  </si>
  <si>
    <t>شهر الطلب</t>
  </si>
  <si>
    <t>Sum of جميع الكميات</t>
  </si>
  <si>
    <t>المبيعات</t>
  </si>
  <si>
    <t>2</t>
  </si>
  <si>
    <t>1</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</si>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</sst>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quot;$&quot;* #,##0_);_(&quot;$&quot;* \(#,##0\);_(&quot;$&quot;* &quot;-&quot;??_);_(@_)"/>
    <numFmt numFmtId="165" formatCode="&quot;$&quot;#,##0"/>
  </numFmts>
  <fonts count="3" x14ac:knownFonts="1">
    <font>
      <sz val="11"/>
      <color theme="1"/>
      <name val="Aptos Narrow"/>
      <family val="2"/>
      <scheme val="minor"/>
    </font>
    <font>
      <sz val="18"/>
      <color theme="1"/>
      <name val="Aptos Narrow"/>
      <family val="2"/>
      <scheme val="minor"/>
    </font>
    <font>
      <sz val="8"/>
      <name val="Aptos Narrow"/>
      <family val="2"/>
      <scheme val="minor"/>
    </font>
  </fonts>
  <fills count="4">
    <fill>
      <patternFill patternType="none"/>
    </fill>
    <fill>
      <patternFill patternType="gray125"/>
    </fill>
    <fill>
      <patternFill patternType="solid">
        <fgColor rgb="FF12143D"/>
        <bgColor indexed="64"/>
      </patternFill>
    </fill>
    <fill>
      <patternFill patternType="solid">
        <fgColor theme="0"/>
        <bgColor indexed="64"/>
      </patternFill>
    </fill>
  </fills>
  <borders count="1">
    <border>
      <left/>
      <right/>
      <top/>
      <bottom/>
      <diagonal/>
    </border>
  </borders>
  <cellStyleXfs count="1">
    <xf numFmtId="0" fontId="0" fillId="0" borderId="0"/>
  </cellStyleXfs>
  <cellXfs count="20">
    <xf numFmtId="0" fontId="0" fillId="0" borderId="0" xfId="0"/>
    <xf numFmtId="0" fontId="0" fillId="2" borderId="0" xfId="0" applyFill="1"/>
    <xf numFmtId="0" fontId="0" fillId="3" borderId="0" xfId="0" applyFill="1"/>
    <xf numFmtId="0" fontId="1"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center" vertical="center"/>
    </xf>
    <xf numFmtId="1" fontId="0" fillId="0" borderId="0" xfId="0" applyNumberFormat="1" applyAlignment="1">
      <alignment horizontal="center" vertical="center"/>
    </xf>
    <xf numFmtId="0" fontId="0" fillId="2" borderId="0" xfId="0" applyFill="1" applyAlignment="1">
      <alignment horizontal="center" vertical="center"/>
    </xf>
    <xf numFmtId="9" fontId="0" fillId="0" borderId="0" xfId="0" applyNumberFormat="1" applyAlignment="1">
      <alignment horizontal="center" vertical="center"/>
    </xf>
    <xf numFmtId="2" fontId="0" fillId="0" borderId="0" xfId="0" applyNumberFormat="1" applyAlignment="1">
      <alignment horizontal="center" vertical="center"/>
    </xf>
    <xf numFmtId="164" fontId="0" fillId="0" borderId="0" xfId="0" pivotButton="1" applyNumberFormat="1" applyAlignment="1">
      <alignment horizontal="center" vertical="center"/>
    </xf>
    <xf numFmtId="9" fontId="0" fillId="0" borderId="0" xfId="0" pivotButton="1" applyNumberFormat="1" applyAlignment="1">
      <alignment horizontal="center" vertical="center"/>
    </xf>
    <xf numFmtId="14" fontId="0" fillId="0" borderId="0" xfId="0" applyNumberFormat="1" applyAlignment="1">
      <alignment horizontal="center" vertical="center"/>
    </xf>
    <xf numFmtId="14" fontId="0" fillId="2" borderId="0" xfId="0" applyNumberFormat="1" applyFill="1"/>
    <xf numFmtId="165" fontId="0" fillId="0" borderId="0" xfId="0" applyNumberFormat="1" applyAlignment="1">
      <alignment horizontal="center" vertical="center"/>
    </xf>
    <xf numFmtId="14" fontId="0" fillId="0" borderId="0" xfId="0" applyNumberFormat="1"/>
    <xf numFmtId="0" fontId="1" fillId="2" borderId="0" xfId="0" applyFont="1" applyFill="1" applyAlignment="1">
      <alignment horizontal="center"/>
    </xf>
  </cellXfs>
  <cellStyles count="1">
    <cellStyle name="Normal" xfId="0" builtinId="0"/>
  </cellStyles>
  <dxfs count="119">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dxf>
    <dxf>
      <numFmt numFmtId="2" formatCode="0.00"/>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 formatCode="0"/>
    </dxf>
    <dxf>
      <numFmt numFmtId="1" formatCode="0"/>
    </dxf>
    <dxf>
      <numFmt numFmtId="1" formatCode="0"/>
    </dxf>
    <dxf>
      <alignment horizontal="center" vertical="center"/>
    </dxf>
    <dxf>
      <alignment horizontal="center" vertical="center"/>
    </dxf>
    <dxf>
      <alignment horizontal="center" vertical="center"/>
    </dxf>
    <dxf>
      <numFmt numFmtId="164" formatCode="_(&quot;$&quot;* #,##0_);_(&quot;$&quot;* \(#,##0\);_(&quot;$&quot;* &quot;-&quot;??_);_(@_)"/>
    </dxf>
    <dxf>
      <numFmt numFmtId="1" formatCode="0"/>
    </dxf>
    <dxf>
      <numFmt numFmtId="1" formatCode="0"/>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64" formatCode="_(&quot;$&quot;* #,##0_);_(&quot;$&quot;* \(#,##0\);_(&quot;$&quot;* &quot;-&quot;??_);_(@_)"/>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 formatCode="0"/>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64" formatCode="_(&quot;$&quot;* #,##0_);_(&quot;$&quot;* \(#,##0\);_(&quot;$&quot;* &quot;-&quot;??_);_(@_)"/>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65" formatCode="&quot;$&quot;#,##0"/>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3" formatCode="0%"/>
    </dxf>
    <dxf>
      <numFmt numFmtId="14" formatCode="0.00%"/>
    </dxf>
    <dxf>
      <numFmt numFmtId="13" formatCode="0%"/>
    </dxf>
    <dxf>
      <numFmt numFmtId="13" formatCode="0%"/>
    </dxf>
    <dxf>
      <numFmt numFmtId="164" formatCode="_(&quot;$&quot;* #,##0_);_(&quot;$&quot;* \(#,##0\);_(&quot;$&quot;* &quot;-&quot;??_);_(@_)"/>
    </dxf>
    <dxf>
      <numFmt numFmtId="164" formatCode="_(&quot;$&quot;* #,##0_);_(&quot;$&quot;* \(#,##0\);_(&quot;$&quot;* &quot;-&quot;??_);_(@_)"/>
    </dxf>
    <dxf>
      <alignment horizontal="center" vertical="center"/>
    </dxf>
    <dxf>
      <alignment horizontal="center" vertical="center"/>
    </dxf>
    <dxf>
      <alignment horizontal="center" vertical="center"/>
    </dxf>
    <dxf>
      <numFmt numFmtId="164" formatCode="_(&quot;$&quot;* #,##0_);_(&quot;$&quot;* \(#,##0\);_(&quot;$&quot;* &quot;-&quot;??_);_(@_)"/>
    </dxf>
    <dxf>
      <numFmt numFmtId="19" formatCode="m/d/yyyy"/>
    </dxf>
    <dxf>
      <numFmt numFmtId="19" formatCode="m/d/yyyy"/>
    </dxf>
    <dxf>
      <numFmt numFmtId="19" formatCode="m/d/yyyy"/>
    </dxf>
    <dxf>
      <font>
        <b/>
        <color theme="1"/>
      </font>
      <border>
        <bottom style="thin">
          <color theme="4"/>
        </bottom>
        <vertical/>
        <horizontal/>
      </border>
    </dxf>
    <dxf>
      <font>
        <color theme="1"/>
      </font>
      <fill>
        <patternFill>
          <bgColor rgb="FF2E327F"/>
        </patternFill>
      </fill>
      <border diagonalUp="0" diagonalDown="0">
        <left/>
        <right/>
        <top/>
        <bottom/>
        <vertical/>
        <horizontal/>
      </border>
    </dxf>
    <dxf>
      <font>
        <b/>
        <color theme="1"/>
      </font>
      <border>
        <bottom style="thin">
          <color theme="4"/>
        </bottom>
        <vertical/>
        <horizontal/>
      </border>
    </dxf>
    <dxf>
      <font>
        <color theme="1"/>
      </font>
      <fill>
        <patternFill>
          <bgColor rgb="FF2E327F"/>
        </patternFill>
      </fill>
      <border diagonalUp="0" diagonalDown="0">
        <left/>
        <right/>
        <top/>
        <bottom/>
        <vertical/>
        <horizontal/>
      </border>
    </dxf>
    <dxf>
      <font>
        <b/>
        <color theme="1"/>
      </font>
      <border>
        <bottom style="thin">
          <color theme="4"/>
        </bottom>
        <vertical/>
        <horizontal/>
      </border>
    </dxf>
    <dxf>
      <font>
        <color theme="1"/>
      </font>
      <fill>
        <patternFill>
          <bgColor rgb="FF2E327F"/>
        </patternFill>
      </fill>
      <border diagonalUp="0" diagonalDown="0">
        <left/>
        <right/>
        <top/>
        <bottom/>
        <vertical/>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4" defaultTableStyle="TableStyleMedium2" defaultPivotStyle="PivotStyleLight16">
    <tableStyle name="PivotTable Style 1" table="0" count="1" xr9:uid="{F5066CDA-BFC3-4E97-AFEC-3DB69DFAE893}">
      <tableStyleElement type="wholeTable" dxfId="118"/>
    </tableStyle>
    <tableStyle name="SlicerStyleLight1 2" pivot="0" table="0" count="10" xr9:uid="{FC17AA64-EE5D-4243-B0AF-FE26A3D324F6}">
      <tableStyleElement type="wholeTable" dxfId="117"/>
      <tableStyleElement type="headerRow" dxfId="116"/>
    </tableStyle>
    <tableStyle name="SlicerStyleLight1 2 2" pivot="0" table="0" count="10" xr9:uid="{65C420D8-136D-4DEC-9962-048906070034}">
      <tableStyleElement type="wholeTable" dxfId="115"/>
      <tableStyleElement type="headerRow" dxfId="114"/>
    </tableStyle>
    <tableStyle name="SlicerStyleLight1 2 3" pivot="0" table="0" count="10" xr9:uid="{DC0EB938-A76B-4C2F-9893-240D12FC1DC8}">
      <tableStyleElement type="wholeTable" dxfId="113"/>
      <tableStyleElement type="headerRow" dxfId="112"/>
    </tableStyle>
  </tableStyles>
  <colors>
    <mruColors>
      <color rgb="FF476BEE"/>
      <color rgb="FF4641D1"/>
      <color rgb="FF7C93FD"/>
      <color rgb="FF1B2399"/>
      <color rgb="FF374AEC"/>
      <color rgb="FF12143D"/>
      <color rgb="FF8701DA"/>
      <color rgb="FFFF00FF"/>
      <color rgb="FF4A59E4"/>
      <color rgb="FF808AEC"/>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rgb="FF2069F0"/>
              </stop>
              <stop position="1">
                <color rgb="FF9933FF"/>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1E205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rgb="FF0575F1"/>
              </stop>
              <stop position="1">
                <color rgb="FF9933FF"/>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1E205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rgb="FF2069F0"/>
              </stop>
              <stop position="1">
                <color rgb="FF9933FF"/>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1E2052"/>
            </patternFill>
          </fill>
          <border diagonalUp="0" diagonalDown="0">
            <left/>
            <right/>
            <top/>
            <bottom/>
            <vertical/>
            <horizontal/>
          </border>
        </dxf>
      </x14:dxfs>
    </ext>
    <ext xmlns:x14="http://schemas.microsoft.com/office/spreadsheetml/2009/9/main" uri="{EB79DEF2-80B8-43e5-95BD-54CBDDF9020C}">
      <x14:slicerStyles defaultSlicerStyle="SlicerStyleLight1 2 3">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2">
                    <a:lumMod val="25000"/>
                    <a:lumOff val="75000"/>
                  </a:schemeClr>
                </a:solidFill>
              </a:rPr>
              <a:t>City</a:t>
            </a:r>
            <a:r>
              <a:rPr lang="en-US" baseline="0">
                <a:solidFill>
                  <a:schemeClr val="tx2">
                    <a:lumMod val="25000"/>
                    <a:lumOff val="75000"/>
                  </a:schemeClr>
                </a:solidFill>
              </a:rPr>
              <a:t> By Sales</a:t>
            </a:r>
            <a:endParaRPr lang="en-US">
              <a:solidFill>
                <a:schemeClr val="tx2">
                  <a:lumMod val="25000"/>
                  <a:lumOff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374AEC"/>
              </a:gs>
              <a:gs pos="100000">
                <a:srgbClr val="1B2399"/>
              </a:gs>
            </a:gsLst>
            <a:lin ang="5400000" scaled="1"/>
          </a:gradFill>
          <a:ln w="101600">
            <a:gradFill>
              <a:gsLst>
                <a:gs pos="0">
                  <a:srgbClr val="7C93FD"/>
                </a:gs>
                <a:gs pos="100000">
                  <a:srgbClr val="4641D1"/>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374AEC"/>
              </a:gs>
              <a:gs pos="100000">
                <a:srgbClr val="1B2399"/>
              </a:gs>
            </a:gsLst>
            <a:lin ang="5400000" scaled="1"/>
          </a:gradFill>
          <a:ln w="101600">
            <a:gradFill>
              <a:gsLst>
                <a:gs pos="0">
                  <a:srgbClr val="7C93FD"/>
                </a:gs>
                <a:gs pos="100000">
                  <a:srgbClr val="4641D1"/>
                </a:gs>
              </a:gsLst>
              <a:lin ang="5400000" scaled="1"/>
            </a:gradFill>
          </a:ln>
          <a:effectLst/>
        </c:spPr>
        <c:dLbl>
          <c:idx val="0"/>
          <c:layout>
            <c:manualLayout>
              <c:x val="0"/>
              <c:y val="-0.105204872646733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374AEC"/>
              </a:gs>
              <a:gs pos="100000">
                <a:srgbClr val="1B2399"/>
              </a:gs>
            </a:gsLst>
            <a:lin ang="5400000" scaled="1"/>
          </a:gradFill>
          <a:ln w="101600">
            <a:gradFill>
              <a:gsLst>
                <a:gs pos="0">
                  <a:srgbClr val="7C93FD"/>
                </a:gs>
                <a:gs pos="100000">
                  <a:srgbClr val="4641D1"/>
                </a:gs>
              </a:gsLst>
              <a:lin ang="5400000" scaled="1"/>
            </a:gradFill>
          </a:ln>
          <a:effectLst/>
        </c:spPr>
      </c:pivotFmt>
    </c:pivotFmts>
    <c:plotArea>
      <c:layout>
        <c:manualLayout>
          <c:layoutTarget val="inner"/>
          <c:xMode val="edge"/>
          <c:yMode val="edge"/>
          <c:x val="0.12986477956078274"/>
          <c:y val="0.23305647840531563"/>
          <c:w val="0.8309549913855705"/>
          <c:h val="0.73372093023255813"/>
        </c:manualLayout>
      </c:layout>
      <c:barChart>
        <c:barDir val="bar"/>
        <c:grouping val="clustered"/>
        <c:varyColors val="0"/>
        <c:ser>
          <c:idx val="0"/>
          <c:order val="0"/>
          <c:tx>
            <c:strRef>
              <c:f>'ask-question'!$K$22</c:f>
              <c:strCache>
                <c:ptCount val="1"/>
                <c:pt idx="0">
                  <c:v>Total</c:v>
                </c:pt>
              </c:strCache>
            </c:strRef>
          </c:tx>
          <c:spPr>
            <a:gradFill>
              <a:gsLst>
                <a:gs pos="0">
                  <a:srgbClr val="374AEC"/>
                </a:gs>
                <a:gs pos="100000">
                  <a:srgbClr val="1B2399"/>
                </a:gs>
              </a:gsLst>
              <a:lin ang="5400000" scaled="1"/>
            </a:gradFill>
            <a:ln w="101600">
              <a:gradFill>
                <a:gsLst>
                  <a:gs pos="0">
                    <a:srgbClr val="7C93FD"/>
                  </a:gs>
                  <a:gs pos="100000">
                    <a:srgbClr val="4641D1"/>
                  </a:gs>
                </a:gsLst>
                <a:lin ang="5400000" scaled="1"/>
              </a:gradFill>
            </a:ln>
            <a:effectLst/>
          </c:spPr>
          <c:invertIfNegative val="0"/>
          <c:dPt>
            <c:idx val="0"/>
            <c:invertIfNegative val="0"/>
            <c:bubble3D val="0"/>
            <c:spPr>
              <a:gradFill>
                <a:gsLst>
                  <a:gs pos="0">
                    <a:srgbClr val="374AEC"/>
                  </a:gs>
                  <a:gs pos="100000">
                    <a:srgbClr val="1B2399"/>
                  </a:gs>
                </a:gsLst>
                <a:lin ang="5400000" scaled="1"/>
              </a:gradFill>
              <a:ln w="101600">
                <a:gradFill>
                  <a:gsLst>
                    <a:gs pos="0">
                      <a:srgbClr val="7C93FD"/>
                    </a:gs>
                    <a:gs pos="100000">
                      <a:srgbClr val="4641D1"/>
                    </a:gs>
                  </a:gsLst>
                  <a:lin ang="5400000" scaled="1"/>
                </a:gradFill>
              </a:ln>
              <a:effectLst/>
            </c:spPr>
            <c:extLst>
              <c:ext xmlns:c16="http://schemas.microsoft.com/office/drawing/2014/chart" uri="{C3380CC4-5D6E-409C-BE32-E72D297353CC}">
                <c16:uniqueId val="{00000001-9A96-42C0-B54B-BC2D0B8000DF}"/>
              </c:ext>
            </c:extLst>
          </c:dPt>
          <c:dLbls>
            <c:dLbl>
              <c:idx val="0"/>
              <c:layout>
                <c:manualLayout>
                  <c:x val="0"/>
                  <c:y val="-0.1052048726467331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A96-42C0-B54B-BC2D0B8000D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'ask-question'!$J$23:$J$31</c:f>
              <c:strCache>
                <c:ptCount val="8"/>
                <c:pt idx="0">
                  <c:v>القاهرة</c:v>
                </c:pt>
                <c:pt idx="1">
                  <c:v>الجيزة</c:v>
                </c:pt>
                <c:pt idx="2">
                  <c:v>السويس</c:v>
                </c:pt>
                <c:pt idx="3">
                  <c:v>الأسكندرية</c:v>
                </c:pt>
                <c:pt idx="4">
                  <c:v>القليوبية</c:v>
                </c:pt>
                <c:pt idx="5">
                  <c:v>الغردقة</c:v>
                </c:pt>
                <c:pt idx="6">
                  <c:v>أسيوط</c:v>
                </c:pt>
                <c:pt idx="7">
                  <c:v>مطروح</c:v>
                </c:pt>
              </c:strCache>
            </c:strRef>
          </c:cat>
          <c:val>
            <c:numRef>
              <c:f>'ask-question'!$K$23:$K$31</c:f>
              <c:numCache>
                <c:formatCode>"$"#,##0</c:formatCode>
                <c:ptCount val="8"/>
                <c:pt idx="0">
                  <c:v>749620</c:v>
                </c:pt>
                <c:pt idx="1">
                  <c:v>246484.5</c:v>
                </c:pt>
                <c:pt idx="2">
                  <c:v>62150.905440000002</c:v>
                </c:pt>
                <c:pt idx="3">
                  <c:v>39857</c:v>
                </c:pt>
                <c:pt idx="4">
                  <c:v>32628</c:v>
                </c:pt>
                <c:pt idx="5">
                  <c:v>19641</c:v>
                </c:pt>
                <c:pt idx="6">
                  <c:v>12999</c:v>
                </c:pt>
                <c:pt idx="7">
                  <c:v>0</c:v>
                </c:pt>
              </c:numCache>
            </c:numRef>
          </c:val>
          <c:extLst>
            <c:ext xmlns:c16="http://schemas.microsoft.com/office/drawing/2014/chart" uri="{C3380CC4-5D6E-409C-BE32-E72D297353CC}">
              <c16:uniqueId val="{00000000-9A96-42C0-B54B-BC2D0B8000DF}"/>
            </c:ext>
          </c:extLst>
        </c:ser>
        <c:dLbls>
          <c:showLegendKey val="0"/>
          <c:showVal val="0"/>
          <c:showCatName val="0"/>
          <c:showSerName val="0"/>
          <c:showPercent val="0"/>
          <c:showBubbleSize val="0"/>
        </c:dLbls>
        <c:gapWidth val="150"/>
        <c:axId val="797363200"/>
        <c:axId val="797364160"/>
      </c:barChart>
      <c:catAx>
        <c:axId val="79736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797364160"/>
        <c:crosses val="autoZero"/>
        <c:auto val="1"/>
        <c:lblAlgn val="ctr"/>
        <c:lblOffset val="100"/>
        <c:noMultiLvlLbl val="0"/>
      </c:catAx>
      <c:valAx>
        <c:axId val="797364160"/>
        <c:scaling>
          <c:orientation val="minMax"/>
        </c:scaling>
        <c:delete val="1"/>
        <c:axPos val="b"/>
        <c:numFmt formatCode="&quot;$&quot;#,##0" sourceLinked="0"/>
        <c:majorTickMark val="none"/>
        <c:minorTickMark val="none"/>
        <c:tickLblPos val="nextTo"/>
        <c:crossAx val="79736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190500" dist="190500" dir="8100000" algn="tr"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Wahbaa.xlsm]ask-question!PivotTable21</c:name>
    <c:fmtId val="6"/>
  </c:pivotSource>
  <c:chart>
    <c:title>
      <c:tx>
        <c:rich>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r>
              <a:rPr lang="en-US" sz="1200">
                <a:solidFill>
                  <a:schemeClr val="tx2">
                    <a:lumMod val="25000"/>
                    <a:lumOff val="75000"/>
                  </a:schemeClr>
                </a:solidFill>
              </a:rPr>
              <a:t>Delivery Status  </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a:gsLst>
              <a:gs pos="0">
                <a:srgbClr val="0070B1"/>
              </a:gs>
              <a:gs pos="100000">
                <a:srgbClr val="00B7D2"/>
              </a:gs>
            </a:gsLst>
            <a:lin ang="5400000" scaled="1"/>
          </a:gradFill>
          <a:ln w="19050">
            <a:noFill/>
          </a:ln>
          <a:effectLst/>
        </c:spPr>
        <c:dLbl>
          <c:idx val="0"/>
          <c:layout>
            <c:manualLayout>
              <c:x val="0.18077680193821918"/>
              <c:y val="-0.24357956049774954"/>
            </c:manualLayout>
          </c:layout>
          <c:tx>
            <c:rich>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fld id="{DD6ECC67-E93A-4D8A-9923-5C493F1838DD}" type="PERCENTAGE">
                  <a:rPr lang="en-US">
                    <a:solidFill>
                      <a:schemeClr val="tx2">
                        <a:lumMod val="25000"/>
                        <a:lumOff val="75000"/>
                      </a:schemeClr>
                    </a:solidFill>
                  </a:rPr>
                  <a:pPr>
                    <a:defRPr/>
                  </a:pPr>
                  <a:t>[PERCENTAGE]</a:t>
                </a:fld>
                <a:endParaRPr lang="en-US"/>
              </a:p>
            </c:rich>
          </c:tx>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gradFill>
            <a:gsLst>
              <a:gs pos="0">
                <a:srgbClr val="3647E3"/>
              </a:gs>
              <a:gs pos="100000">
                <a:srgbClr val="9F8CFC"/>
              </a:gs>
            </a:gsLst>
            <a:lin ang="5400000" scaled="1"/>
          </a:gradFill>
          <a:ln w="19050">
            <a:noFill/>
          </a:ln>
          <a:effectLst/>
        </c:spPr>
        <c:dLbl>
          <c:idx val="0"/>
          <c:layout>
            <c:manualLayout>
              <c:x val="0.13145539906103287"/>
              <c:y val="0.13238019592268988"/>
            </c:manualLayout>
          </c:layout>
          <c:tx>
            <c:rich>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fld id="{20D05FD4-5550-4895-B61E-72EC8A22818A}" type="PERCENTAGE">
                  <a:rPr lang="en-US">
                    <a:solidFill>
                      <a:schemeClr val="bg1"/>
                    </a:solidFill>
                  </a:rPr>
                  <a:pPr>
                    <a:defRPr/>
                  </a:pPr>
                  <a:t>[PERCENTAGE]</a:t>
                </a:fld>
                <a:endParaRPr lang="en-US"/>
              </a:p>
            </c:rich>
          </c:tx>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9"/>
        <c:spPr>
          <a:gradFill>
            <a:gsLst>
              <a:gs pos="0">
                <a:srgbClr val="8701DA"/>
              </a:gs>
              <a:gs pos="100000">
                <a:srgbClr val="AD27FE"/>
              </a:gs>
            </a:gsLst>
            <a:lin ang="5400000" scaled="1"/>
          </a:gradFill>
          <a:ln w="19050">
            <a:noFill/>
          </a:ln>
          <a:effectLst/>
        </c:spPr>
        <c:dLbl>
          <c:idx val="0"/>
          <c:layout>
            <c:manualLayout>
              <c:x val="-4.6948356807511749E-2"/>
              <c:y val="0.21180831347630394"/>
            </c:manualLayout>
          </c:layout>
          <c:tx>
            <c:rich>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fld id="{C62EC59B-1618-4AA9-B066-C7A37710151C}" type="PERCENTAGE">
                  <a:rPr lang="en-US">
                    <a:solidFill>
                      <a:schemeClr val="tx2">
                        <a:lumMod val="25000"/>
                        <a:lumOff val="75000"/>
                      </a:schemeClr>
                    </a:solidFill>
                  </a:rPr>
                  <a:pPr>
                    <a:defRPr/>
                  </a:pPr>
                  <a:t>[PERCENTAGE]</a:t>
                </a:fld>
                <a:endParaRPr lang="en-US"/>
              </a:p>
            </c:rich>
          </c:tx>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0"/>
        <c:spPr>
          <a:gradFill>
            <a:gsLst>
              <a:gs pos="0">
                <a:srgbClr val="476BEE"/>
              </a:gs>
              <a:gs pos="100000">
                <a:srgbClr val="007686"/>
              </a:gs>
            </a:gsLst>
            <a:lin ang="5400000" scaled="1"/>
          </a:gradFill>
          <a:ln w="19050">
            <a:noFill/>
          </a:ln>
          <a:effectLst/>
        </c:spPr>
        <c:dLbl>
          <c:idx val="0"/>
          <c:layout>
            <c:manualLayout>
              <c:x val="-9.3896713615023469E-2"/>
              <c:y val="-0.13767540375959755"/>
            </c:manualLayout>
          </c:layout>
          <c:tx>
            <c:rich>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fld id="{35B8000F-3C85-4FC4-A674-C4AFA35219F8}" type="PERCENTAGE">
                  <a:rPr lang="en-US">
                    <a:solidFill>
                      <a:schemeClr val="tx2">
                        <a:lumMod val="25000"/>
                        <a:lumOff val="75000"/>
                      </a:schemeClr>
                    </a:solidFill>
                  </a:rPr>
                  <a:pPr>
                    <a:defRPr/>
                  </a:pPr>
                  <a:t>[PERCENTAGE]</a:t>
                </a:fld>
                <a:endParaRPr lang="en-US"/>
              </a:p>
            </c:rich>
          </c:tx>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'ask-question'!$O$12</c:f>
              <c:strCache>
                <c:ptCount val="1"/>
                <c:pt idx="0">
                  <c:v>Total</c:v>
                </c:pt>
              </c:strCache>
            </c:strRef>
          </c:tx>
          <c:dPt>
            <c:idx val="0"/>
            <c:bubble3D val="0"/>
            <c:spPr>
              <a:gradFill>
                <a:gsLst>
                  <a:gs pos="0">
                    <a:srgbClr val="0070B1"/>
                  </a:gs>
                  <a:gs pos="100000">
                    <a:srgbClr val="00B7D2"/>
                  </a:gs>
                </a:gsLst>
                <a:lin ang="5400000" scaled="1"/>
              </a:gradFill>
              <a:ln w="19050">
                <a:noFill/>
              </a:ln>
              <a:effectLst/>
            </c:spPr>
            <c:extLst>
              <c:ext xmlns:c16="http://schemas.microsoft.com/office/drawing/2014/chart" uri="{C3380CC4-5D6E-409C-BE32-E72D297353CC}">
                <c16:uniqueId val="{00000001-B162-4306-B2A6-CA200FA21723}"/>
              </c:ext>
            </c:extLst>
          </c:dPt>
          <c:dPt>
            <c:idx val="1"/>
            <c:bubble3D val="0"/>
            <c:spPr>
              <a:gradFill>
                <a:gsLst>
                  <a:gs pos="0">
                    <a:srgbClr val="3647E3"/>
                  </a:gs>
                  <a:gs pos="100000">
                    <a:srgbClr val="9F8CFC"/>
                  </a:gs>
                </a:gsLst>
                <a:lin ang="5400000" scaled="1"/>
              </a:gradFill>
              <a:ln w="19050">
                <a:noFill/>
              </a:ln>
              <a:effectLst/>
            </c:spPr>
            <c:extLst>
              <c:ext xmlns:c16="http://schemas.microsoft.com/office/drawing/2014/chart" uri="{C3380CC4-5D6E-409C-BE32-E72D297353CC}">
                <c16:uniqueId val="{00000003-B162-4306-B2A6-CA200FA21723}"/>
              </c:ext>
            </c:extLst>
          </c:dPt>
          <c:dPt>
            <c:idx val="2"/>
            <c:bubble3D val="0"/>
            <c:spPr>
              <a:gradFill>
                <a:gsLst>
                  <a:gs pos="0">
                    <a:srgbClr val="8701DA"/>
                  </a:gs>
                  <a:gs pos="100000">
                    <a:srgbClr val="AD27FE"/>
                  </a:gs>
                </a:gsLst>
                <a:lin ang="5400000" scaled="1"/>
              </a:gradFill>
              <a:ln w="19050">
                <a:noFill/>
              </a:ln>
              <a:effectLst/>
            </c:spPr>
            <c:extLst>
              <c:ext xmlns:c16="http://schemas.microsoft.com/office/drawing/2014/chart" uri="{C3380CC4-5D6E-409C-BE32-E72D297353CC}">
                <c16:uniqueId val="{00000005-B162-4306-B2A6-CA200FA21723}"/>
              </c:ext>
            </c:extLst>
          </c:dPt>
          <c:dPt>
            <c:idx val="3"/>
            <c:bubble3D val="0"/>
            <c:spPr>
              <a:gradFill>
                <a:gsLst>
                  <a:gs pos="0">
                    <a:srgbClr val="476BEE"/>
                  </a:gs>
                  <a:gs pos="100000">
                    <a:srgbClr val="007686"/>
                  </a:gs>
                </a:gsLst>
                <a:lin ang="5400000" scaled="1"/>
              </a:gradFill>
              <a:ln w="19050">
                <a:noFill/>
              </a:ln>
              <a:effectLst/>
            </c:spPr>
            <c:extLst>
              <c:ext xmlns:c16="http://schemas.microsoft.com/office/drawing/2014/chart" uri="{C3380CC4-5D6E-409C-BE32-E72D297353CC}">
                <c16:uniqueId val="{00000007-B162-4306-B2A6-CA200FA21723}"/>
              </c:ext>
            </c:extLst>
          </c:dPt>
          <c:dLbls>
            <c:dLbl>
              <c:idx val="0"/>
              <c:layout>
                <c:manualLayout>
                  <c:x val="0.18077680193821918"/>
                  <c:y val="-0.24357956049774954"/>
                </c:manualLayout>
              </c:layout>
              <c:tx>
                <c:rich>
                  <a:bodyPr/>
                  <a:lstStyle/>
                  <a:p>
                    <a:fld id="{DD6ECC67-E93A-4D8A-9923-5C493F1838DD}" type="PERCENTAGE">
                      <a:rPr lang="en-US">
                        <a:solidFill>
                          <a:schemeClr val="tx2">
                            <a:lumMod val="25000"/>
                            <a:lumOff val="75000"/>
                          </a:schemeClr>
                        </a:solidFill>
                      </a:rPr>
                      <a:pPr/>
                      <a:t>[PERCENTAGE]</a:t>
                    </a:fld>
                    <a:endParaRPr lang="en-US"/>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162-4306-B2A6-CA200FA21723}"/>
                </c:ext>
              </c:extLst>
            </c:dLbl>
            <c:dLbl>
              <c:idx val="1"/>
              <c:layout>
                <c:manualLayout>
                  <c:x val="0.13145539906103287"/>
                  <c:y val="0.13238019592268988"/>
                </c:manualLayout>
              </c:layout>
              <c:tx>
                <c:rich>
                  <a:bodyPr/>
                  <a:lstStyle/>
                  <a:p>
                    <a:fld id="{20D05FD4-5550-4895-B61E-72EC8A22818A}" type="PERCENTAGE">
                      <a:rPr lang="en-US">
                        <a:solidFill>
                          <a:schemeClr val="bg1"/>
                        </a:solidFill>
                      </a:rPr>
                      <a:pPr/>
                      <a:t>[PERCENTAGE]</a:t>
                    </a:fld>
                    <a:endParaRPr lang="en-US"/>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162-4306-B2A6-CA200FA21723}"/>
                </c:ext>
              </c:extLst>
            </c:dLbl>
            <c:dLbl>
              <c:idx val="2"/>
              <c:layout>
                <c:manualLayout>
                  <c:x val="-4.6948356807511749E-2"/>
                  <c:y val="0.21180831347630394"/>
                </c:manualLayout>
              </c:layout>
              <c:tx>
                <c:rich>
                  <a:bodyPr/>
                  <a:lstStyle/>
                  <a:p>
                    <a:fld id="{C62EC59B-1618-4AA9-B066-C7A37710151C}" type="PERCENTAGE">
                      <a:rPr lang="en-US">
                        <a:solidFill>
                          <a:schemeClr val="tx2">
                            <a:lumMod val="25000"/>
                            <a:lumOff val="75000"/>
                          </a:schemeClr>
                        </a:solidFill>
                      </a:rPr>
                      <a:pPr/>
                      <a:t>[PERCENTAGE]</a:t>
                    </a:fld>
                    <a:endParaRPr lang="en-US"/>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162-4306-B2A6-CA200FA21723}"/>
                </c:ext>
              </c:extLst>
            </c:dLbl>
            <c:dLbl>
              <c:idx val="3"/>
              <c:layout>
                <c:manualLayout>
                  <c:x val="-9.3896713615023469E-2"/>
                  <c:y val="-0.13767540375959755"/>
                </c:manualLayout>
              </c:layout>
              <c:tx>
                <c:rich>
                  <a:bodyPr/>
                  <a:lstStyle/>
                  <a:p>
                    <a:fld id="{35B8000F-3C85-4FC4-A674-C4AFA35219F8}" type="PERCENTAGE">
                      <a:rPr lang="en-US">
                        <a:solidFill>
                          <a:schemeClr val="tx2">
                            <a:lumMod val="25000"/>
                            <a:lumOff val="75000"/>
                          </a:schemeClr>
                        </a:solidFill>
                      </a:rPr>
                      <a:pPr/>
                      <a:t>[PERCENTAGE]</a:t>
                    </a:fld>
                    <a:endParaRPr lang="en-US"/>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B162-4306-B2A6-CA200FA21723}"/>
                </c:ext>
              </c:extLst>
            </c:dLbl>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'ask-question'!$N$13:$N$17</c:f>
              <c:strCache>
                <c:ptCount val="4"/>
                <c:pt idx="0">
                  <c:v>تم التسليم بعد الميعاد</c:v>
                </c:pt>
                <c:pt idx="1">
                  <c:v>تم التسليم فى الميعاد</c:v>
                </c:pt>
                <c:pt idx="2">
                  <c:v>تم التسليم قبل الميعاد</c:v>
                </c:pt>
                <c:pt idx="3">
                  <c:v>فشل التسليم</c:v>
                </c:pt>
              </c:strCache>
            </c:strRef>
          </c:cat>
          <c:val>
            <c:numRef>
              <c:f>'ask-question'!$O$13:$O$17</c:f>
              <c:numCache>
                <c:formatCode>0%</c:formatCode>
                <c:ptCount val="4"/>
                <c:pt idx="0">
                  <c:v>0.42372881355932202</c:v>
                </c:pt>
                <c:pt idx="1">
                  <c:v>3.3898305084745763E-2</c:v>
                </c:pt>
                <c:pt idx="2">
                  <c:v>0.38135593220338981</c:v>
                </c:pt>
                <c:pt idx="3">
                  <c:v>0.16101694915254236</c:v>
                </c:pt>
              </c:numCache>
            </c:numRef>
          </c:val>
          <c:extLst>
            <c:ext xmlns:c16="http://schemas.microsoft.com/office/drawing/2014/chart" uri="{C3380CC4-5D6E-409C-BE32-E72D297353CC}">
              <c16:uniqueId val="{00000008-B162-4306-B2A6-CA200FA2172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egendEntry>
        <c:idx val="0"/>
        <c:txPr>
          <a:bodyPr rot="0" spcFirstLastPara="1" vertOverflow="ellipsis" vert="horz" wrap="square" anchor="ctr" anchorCtr="1"/>
          <a:lstStyle/>
          <a:p>
            <a:pPr>
              <a:defRPr lang="en-US" sz="900" b="0" i="0" u="none" strike="noStrike" kern="1200" baseline="0">
                <a:solidFill>
                  <a:schemeClr val="tx2">
                    <a:lumMod val="25000"/>
                    <a:lumOff val="7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lang="en-US" sz="900" b="0" i="0" u="none" strike="noStrike" kern="1200" baseline="0">
                <a:solidFill>
                  <a:schemeClr val="tx2">
                    <a:lumMod val="25000"/>
                    <a:lumOff val="7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lang="en-US" sz="900" b="0" i="0" u="none" strike="noStrike" kern="1200" baseline="0">
                <a:solidFill>
                  <a:schemeClr val="tx2">
                    <a:lumMod val="25000"/>
                    <a:lumOff val="75000"/>
                  </a:schemeClr>
                </a:solidFill>
                <a:latin typeface="+mn-lt"/>
                <a:ea typeface="+mn-ea"/>
                <a:cs typeface="+mn-cs"/>
              </a:defRPr>
            </a:pPr>
            <a:endParaRPr lang="en-US"/>
          </a:p>
        </c:txPr>
      </c:legendEntry>
      <c:legendEntry>
        <c:idx val="3"/>
        <c:txPr>
          <a:bodyPr rot="0" spcFirstLastPara="1" vertOverflow="ellipsis" vert="horz" wrap="square" anchor="ctr" anchorCtr="1"/>
          <a:lstStyle/>
          <a:p>
            <a:pPr>
              <a:defRPr lang="en-US" sz="900" b="0" i="0" u="none" strike="noStrike" kern="1200" baseline="0">
                <a:solidFill>
                  <a:schemeClr val="tx2">
                    <a:lumMod val="25000"/>
                    <a:lumOff val="7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190500" dist="190500" dir="8100000" algn="tr" rotWithShape="0">
        <a:prstClr val="black">
          <a:alpha val="50000"/>
        </a:prstClr>
      </a:outerShdw>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Wahbaa.xlsm]ask-question!PivotTable26</c:name>
    <c:fmtId val="4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200" b="0" i="0" u="none" strike="noStrike" kern="1200" spc="0" baseline="0">
                <a:solidFill>
                  <a:schemeClr val="tx2">
                    <a:lumMod val="25000"/>
                    <a:lumOff val="75000"/>
                  </a:schemeClr>
                </a:solidFill>
              </a:rPr>
              <a:t>Customers And  Company  </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200"/>
          </a:p>
        </c:rich>
      </c:tx>
      <c:layout>
        <c:manualLayout>
          <c:xMode val="edge"/>
          <c:yMode val="edge"/>
          <c:x val="0.15693941973469533"/>
          <c:y val="3.514056224899598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a:gsLst>
              <a:gs pos="0">
                <a:srgbClr val="808AEC"/>
              </a:gs>
              <a:gs pos="100000">
                <a:srgbClr val="4A59E4"/>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gradFill>
            <a:gsLst>
              <a:gs pos="0">
                <a:srgbClr val="FF00FF">
                  <a:alpha val="10000"/>
                </a:srgbClr>
              </a:gs>
              <a:gs pos="88000">
                <a:srgbClr val="4A59E4"/>
              </a:gs>
            </a:gsLst>
            <a:lin ang="5400000" scaled="0"/>
          </a:gradFill>
          <a:ln w="19050">
            <a:noFill/>
          </a:ln>
          <a:effectLst/>
        </c:spPr>
        <c:dLbl>
          <c:idx val="0"/>
          <c:layout>
            <c:manualLayout>
              <c:x val="0.18203132169667602"/>
              <c:y val="-9.2182967260671361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baseline="0">
                    <a:solidFill>
                      <a:schemeClr val="tx2">
                        <a:lumMod val="25000"/>
                        <a:lumOff val="75000"/>
                      </a:schemeClr>
                    </a:solidFill>
                  </a:rPr>
                  <a:t> </a:t>
                </a:r>
                <a:fld id="{47B4B45A-DE71-4D25-935A-B6E6EDE58BC5}" type="VALUE">
                  <a:rPr lang="en-US" baseline="0">
                    <a:solidFill>
                      <a:schemeClr val="tx2">
                        <a:lumMod val="25000"/>
                        <a:lumOff val="75000"/>
                      </a:schemeClr>
                    </a:solidFill>
                  </a:rPr>
                  <a:pPr>
                    <a:defRPr/>
                  </a:pPr>
                  <a:t>[VALUE]</a:t>
                </a:fld>
                <a:endParaRPr lang="en-US" baseline="0">
                  <a:solidFill>
                    <a:schemeClr val="tx2">
                      <a:lumMod val="25000"/>
                      <a:lumOff val="75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6"/>
        <c:spPr>
          <a:gradFill>
            <a:gsLst>
              <a:gs pos="0">
                <a:srgbClr val="808AEC"/>
              </a:gs>
              <a:gs pos="100000">
                <a:srgbClr val="4A59E4"/>
              </a:gs>
            </a:gsLst>
            <a:lin ang="5400000" scaled="0"/>
          </a:gradFill>
          <a:ln w="19050">
            <a:noFill/>
          </a:ln>
          <a:effectLst/>
        </c:spPr>
        <c:dLbl>
          <c:idx val="0"/>
          <c:layout>
            <c:manualLayout>
              <c:x val="-4.9155011655011682E-2"/>
              <c:y val="-2.5073387208177925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baseline="0">
                    <a:solidFill>
                      <a:schemeClr val="tx2">
                        <a:lumMod val="25000"/>
                        <a:lumOff val="75000"/>
                      </a:schemeClr>
                    </a:solidFill>
                  </a:rPr>
                  <a:t> </a:t>
                </a:r>
                <a:fld id="{E5AA671F-9D53-4448-B56E-CED02B391449}" type="VALUE">
                  <a:rPr lang="en-US" baseline="0">
                    <a:solidFill>
                      <a:schemeClr val="tx2">
                        <a:lumMod val="25000"/>
                        <a:lumOff val="75000"/>
                      </a:schemeClr>
                    </a:solidFill>
                  </a:rPr>
                  <a:pPr>
                    <a:defRPr/>
                  </a:pPr>
                  <a:t>[VALUE]</a:t>
                </a:fld>
                <a:endParaRPr lang="en-US" baseline="0">
                  <a:solidFill>
                    <a:schemeClr val="tx2">
                      <a:lumMod val="25000"/>
                      <a:lumOff val="75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'ask-question'!$D$35</c:f>
              <c:strCache>
                <c:ptCount val="1"/>
                <c:pt idx="0">
                  <c:v>Total</c:v>
                </c:pt>
              </c:strCache>
            </c:strRef>
          </c:tx>
          <c:spPr>
            <a:gradFill>
              <a:gsLst>
                <a:gs pos="0">
                  <a:srgbClr val="808AEC"/>
                </a:gs>
                <a:gs pos="100000">
                  <a:srgbClr val="4A59E4"/>
                </a:gs>
              </a:gsLst>
              <a:lin ang="5400000" scaled="0"/>
            </a:gradFill>
          </c:spPr>
          <c:dPt>
            <c:idx val="0"/>
            <c:bubble3D val="0"/>
            <c:spPr>
              <a:gradFill>
                <a:gsLst>
                  <a:gs pos="0">
                    <a:srgbClr val="FF00FF">
                      <a:alpha val="10000"/>
                    </a:srgbClr>
                  </a:gs>
                  <a:gs pos="88000">
                    <a:srgbClr val="4A59E4"/>
                  </a:gs>
                </a:gsLst>
                <a:lin ang="5400000" scaled="0"/>
              </a:gradFill>
              <a:ln w="19050">
                <a:noFill/>
              </a:ln>
              <a:effectLst/>
            </c:spPr>
            <c:extLst>
              <c:ext xmlns:c16="http://schemas.microsoft.com/office/drawing/2014/chart" uri="{C3380CC4-5D6E-409C-BE32-E72D297353CC}">
                <c16:uniqueId val="{00000001-08D0-45F3-876E-FF89FAEF855C}"/>
              </c:ext>
            </c:extLst>
          </c:dPt>
          <c:dPt>
            <c:idx val="1"/>
            <c:bubble3D val="0"/>
            <c:spPr>
              <a:gradFill>
                <a:gsLst>
                  <a:gs pos="0">
                    <a:srgbClr val="808AEC"/>
                  </a:gs>
                  <a:gs pos="100000">
                    <a:srgbClr val="4A59E4"/>
                  </a:gs>
                </a:gsLst>
                <a:lin ang="5400000" scaled="0"/>
              </a:gradFill>
              <a:ln w="19050">
                <a:noFill/>
              </a:ln>
              <a:effectLst/>
            </c:spPr>
            <c:extLst>
              <c:ext xmlns:c16="http://schemas.microsoft.com/office/drawing/2014/chart" uri="{C3380CC4-5D6E-409C-BE32-E72D297353CC}">
                <c16:uniqueId val="{00000003-08D0-45F3-876E-FF89FAEF855C}"/>
              </c:ext>
            </c:extLst>
          </c:dPt>
          <c:dLbls>
            <c:dLbl>
              <c:idx val="0"/>
              <c:layout>
                <c:manualLayout>
                  <c:x val="0.18203132169667602"/>
                  <c:y val="-9.2182967260671361E-3"/>
                </c:manualLayout>
              </c:layout>
              <c:tx>
                <c:rich>
                  <a:bodyPr/>
                  <a:lstStyle/>
                  <a:p>
                    <a:r>
                      <a:rPr lang="en-US" baseline="0">
                        <a:solidFill>
                          <a:schemeClr val="tx2">
                            <a:lumMod val="25000"/>
                            <a:lumOff val="75000"/>
                          </a:schemeClr>
                        </a:solidFill>
                      </a:rPr>
                      <a:t> </a:t>
                    </a:r>
                    <a:fld id="{47B4B45A-DE71-4D25-935A-B6E6EDE58BC5}" type="VALUE">
                      <a:rPr lang="en-US" baseline="0">
                        <a:solidFill>
                          <a:schemeClr val="tx2">
                            <a:lumMod val="25000"/>
                            <a:lumOff val="75000"/>
                          </a:schemeClr>
                        </a:solidFill>
                      </a:rPr>
                      <a:pPr/>
                      <a:t>[VALUE]</a:t>
                    </a:fld>
                    <a:endParaRPr lang="en-US" baseline="0">
                      <a:solidFill>
                        <a:schemeClr val="tx2">
                          <a:lumMod val="25000"/>
                          <a:lumOff val="75000"/>
                        </a:schemeClr>
                      </a:solidFill>
                    </a:endParaRPr>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8D0-45F3-876E-FF89FAEF855C}"/>
                </c:ext>
              </c:extLst>
            </c:dLbl>
            <c:dLbl>
              <c:idx val="1"/>
              <c:layout>
                <c:manualLayout>
                  <c:x val="-4.9155011655011682E-2"/>
                  <c:y val="-2.5073387208177925E-2"/>
                </c:manualLayout>
              </c:layout>
              <c:tx>
                <c:rich>
                  <a:bodyPr/>
                  <a:lstStyle/>
                  <a:p>
                    <a:r>
                      <a:rPr lang="en-US" baseline="0">
                        <a:solidFill>
                          <a:schemeClr val="tx2">
                            <a:lumMod val="25000"/>
                            <a:lumOff val="75000"/>
                          </a:schemeClr>
                        </a:solidFill>
                      </a:rPr>
                      <a:t> </a:t>
                    </a:r>
                    <a:fld id="{E5AA671F-9D53-4448-B56E-CED02B391449}" type="VALUE">
                      <a:rPr lang="en-US" baseline="0">
                        <a:solidFill>
                          <a:schemeClr val="tx2">
                            <a:lumMod val="25000"/>
                            <a:lumOff val="75000"/>
                          </a:schemeClr>
                        </a:solidFill>
                      </a:rPr>
                      <a:pPr/>
                      <a:t>[VALUE]</a:t>
                    </a:fld>
                    <a:endParaRPr lang="en-US" baseline="0">
                      <a:solidFill>
                        <a:schemeClr val="tx2">
                          <a:lumMod val="25000"/>
                          <a:lumOff val="75000"/>
                        </a:schemeClr>
                      </a:solidFill>
                    </a:endParaRPr>
                  </a:p>
                </c:rich>
              </c:tx>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8D0-45F3-876E-FF89FAEF85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'ask-question'!$C$36:$C$38</c:f>
              <c:strCache>
                <c:ptCount val="2"/>
                <c:pt idx="0">
                  <c:v>شخص</c:v>
                </c:pt>
                <c:pt idx="1">
                  <c:v>شركة</c:v>
                </c:pt>
              </c:strCache>
            </c:strRef>
          </c:cat>
          <c:val>
            <c:numRef>
              <c:f>'ask-question'!$D$36:$D$38</c:f>
              <c:numCache>
                <c:formatCode>0</c:formatCode>
                <c:ptCount val="2"/>
                <c:pt idx="0">
                  <c:v>72</c:v>
                </c:pt>
                <c:pt idx="1">
                  <c:v>4</c:v>
                </c:pt>
              </c:numCache>
            </c:numRef>
          </c:val>
          <c:extLst>
            <c:ext xmlns:c16="http://schemas.microsoft.com/office/drawing/2014/chart" uri="{C3380CC4-5D6E-409C-BE32-E72D297353CC}">
              <c16:uniqueId val="{00000004-08D0-45F3-876E-FF89FAEF855C}"/>
            </c:ext>
          </c:extLst>
        </c:ser>
        <c:dLbls>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190500" dist="190500" dir="8100000" algn="tr" rotWithShape="0">
        <a:prstClr val="black">
          <a:alpha val="5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chemeClr val="tx2">
                    <a:lumMod val="25000"/>
                    <a:lumOff val="75000"/>
                  </a:schemeClr>
                </a:solidFill>
              </a:rPr>
              <a:t>Best Color  Sold     </a:t>
            </a:r>
          </a:p>
          <a:p>
            <a:pPr>
              <a:defRPr/>
            </a:pPr>
            <a:endParaRPr lang="en-US" sz="1400" b="0" i="0" u="none" strike="noStrike" kern="1200" spc="0" baseline="0">
              <a:solidFill>
                <a:sysClr val="windowText" lastClr="000000">
                  <a:lumMod val="65000"/>
                  <a:lumOff val="35000"/>
                </a:sysClr>
              </a:solidFill>
            </a:endParaRPr>
          </a:p>
          <a:p>
            <a:pPr>
              <a:defRPr/>
            </a:pPr>
            <a:endParaRPr lang="en-US"/>
          </a:p>
        </c:rich>
      </c:tx>
      <c:layout>
        <c:manualLayout>
          <c:xMode val="edge"/>
          <c:yMode val="edge"/>
          <c:x val="0.52047377326565147"/>
          <c:y val="2.12992545260915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rgbClr val="002060"/>
                </a:gs>
                <a:gs pos="77000">
                  <a:srgbClr val="8701DA"/>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gradFill>
              <a:gsLst>
                <a:gs pos="0">
                  <a:srgbClr val="002060"/>
                </a:gs>
                <a:gs pos="77000">
                  <a:srgbClr val="8701DA"/>
                </a:gs>
              </a:gsLst>
              <a:lin ang="5400000" scaled="1"/>
            </a:gradFill>
            <a:round/>
          </a:ln>
          <a:effectLst/>
        </c:spPr>
        <c:marker>
          <c:symbol val="none"/>
        </c:marker>
        <c:dLbl>
          <c:idx val="0"/>
          <c:layout>
            <c:manualLayout>
              <c:x val="-6.1331055064817404E-2"/>
              <c:y val="-0.34363409491846308"/>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7D6A719-9708-4B6E-920C-1CF222CE6A65}"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ln w="28575" cap="rnd">
            <a:gradFill>
              <a:gsLst>
                <a:gs pos="0">
                  <a:srgbClr val="002060"/>
                </a:gs>
                <a:gs pos="77000">
                  <a:srgbClr val="8701DA"/>
                </a:gs>
              </a:gsLst>
              <a:lin ang="5400000" scaled="1"/>
            </a:gradFill>
            <a:round/>
          </a:ln>
          <a:effectLst/>
        </c:spPr>
        <c:marker>
          <c:symbol val="none"/>
        </c:marker>
        <c:dLbl>
          <c:idx val="0"/>
          <c:layout>
            <c:manualLayout>
              <c:x val="-7.3910827770894139E-2"/>
              <c:y val="-0.307781649245063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9E87319-C007-444C-9B07-2DC124F89EEE}"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ln w="28575" cap="rnd">
            <a:gradFill>
              <a:gsLst>
                <a:gs pos="0">
                  <a:srgbClr val="002060"/>
                </a:gs>
                <a:gs pos="77000">
                  <a:srgbClr val="8701DA"/>
                </a:gs>
              </a:gsLst>
              <a:lin ang="5400000" scaled="1"/>
            </a:gradFill>
            <a:round/>
          </a:ln>
          <a:effectLst/>
        </c:spPr>
        <c:marker>
          <c:symbol val="none"/>
        </c:marker>
        <c:dLbl>
          <c:idx val="0"/>
          <c:layout>
            <c:manualLayout>
              <c:x val="-9.8107105266663996E-2"/>
              <c:y val="-0.4181184668989547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E6AC3E-424A-4164-A93F-05BAA873CDB8}"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ln w="28575" cap="rnd">
            <a:gradFill>
              <a:gsLst>
                <a:gs pos="0">
                  <a:srgbClr val="002060"/>
                </a:gs>
                <a:gs pos="77000">
                  <a:srgbClr val="8701DA"/>
                </a:gs>
              </a:gsLst>
              <a:lin ang="5400000" scaled="1"/>
            </a:gradFill>
            <a:round/>
          </a:ln>
          <a:effectLst/>
        </c:spPr>
        <c:marker>
          <c:symbol val="none"/>
        </c:marker>
        <c:dLbl>
          <c:idx val="0"/>
          <c:layout>
            <c:manualLayout>
              <c:x val="-0.10656734215329687"/>
              <c:y val="-0.38908246225319398"/>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F1C5DA5-CAD6-4283-8A33-A00720022181}"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ln w="28575" cap="rnd">
            <a:gradFill>
              <a:gsLst>
                <a:gs pos="0">
                  <a:srgbClr val="002060"/>
                </a:gs>
                <a:gs pos="77000">
                  <a:srgbClr val="8701DA"/>
                </a:gs>
              </a:gsLst>
              <a:lin ang="5400000" scaled="1"/>
            </a:gradFill>
            <a:round/>
          </a:ln>
          <a:effectLst/>
        </c:spPr>
        <c:marker>
          <c:symbol val="none"/>
        </c:marker>
        <c:dLbl>
          <c:idx val="0"/>
          <c:layout>
            <c:manualLayout>
              <c:x val="-0.11079746059661325"/>
              <c:y val="-0.3193960511033682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4174F4F-1FEC-4DF3-ABC3-522A9C78035A}"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ln w="28575" cap="rnd">
            <a:gradFill>
              <a:gsLst>
                <a:gs pos="0">
                  <a:srgbClr val="002060"/>
                </a:gs>
                <a:gs pos="77000">
                  <a:srgbClr val="8701DA"/>
                </a:gs>
              </a:gsLst>
              <a:lin ang="5400000" scaled="1"/>
            </a:gradFill>
            <a:round/>
          </a:ln>
          <a:effectLst/>
        </c:spPr>
        <c:marker>
          <c:symbol val="none"/>
        </c:marker>
        <c:dLbl>
          <c:idx val="0"/>
          <c:layout>
            <c:manualLayout>
              <c:x val="-0.10656734215329683"/>
              <c:y val="-0.23809523809523808"/>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BFE3C26-AF3E-4575-B1B5-FCA8F6DDD605}"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ln w="28575" cap="rnd">
            <a:gradFill>
              <a:gsLst>
                <a:gs pos="0">
                  <a:srgbClr val="002060"/>
                </a:gs>
                <a:gs pos="77000">
                  <a:srgbClr val="8701DA"/>
                </a:gs>
              </a:gsLst>
              <a:lin ang="5400000" scaled="1"/>
            </a:gradFill>
            <a:round/>
          </a:ln>
          <a:effectLst/>
        </c:spPr>
        <c:marker>
          <c:symbol val="none"/>
        </c:marker>
        <c:dLbl>
          <c:idx val="0"/>
          <c:layout>
            <c:manualLayout>
              <c:x val="-0.11502757903992973"/>
              <c:y val="-0.1509872241579558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1EA8E93-F54E-4A69-A13B-3BF644FB2332}"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ln w="28575" cap="rnd">
            <a:gradFill>
              <a:gsLst>
                <a:gs pos="0">
                  <a:srgbClr val="002060"/>
                </a:gs>
                <a:gs pos="77000">
                  <a:srgbClr val="8701DA"/>
                </a:gs>
              </a:gsLst>
              <a:lin ang="5400000" scaled="1"/>
            </a:gradFill>
            <a:round/>
          </a:ln>
          <a:effectLst/>
        </c:spPr>
        <c:marker>
          <c:symbol val="none"/>
        </c:marker>
        <c:dLbl>
          <c:idx val="0"/>
          <c:layout>
            <c:manualLayout>
              <c:x val="-0.10656734215329683"/>
              <c:y val="-8.7108013937282236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5A567FE-80F7-4907-9C8B-E05DD803283F}"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6.3451776649746189E-2"/>
          <c:y val="0.37312059676750936"/>
          <c:w val="0.9069373942470389"/>
          <c:h val="0.43716234241211654"/>
        </c:manualLayout>
      </c:layout>
      <c:lineChart>
        <c:grouping val="standard"/>
        <c:varyColors val="0"/>
        <c:ser>
          <c:idx val="0"/>
          <c:order val="0"/>
          <c:tx>
            <c:strRef>
              <c:f>'ask-question'!$H$22</c:f>
              <c:strCache>
                <c:ptCount val="1"/>
                <c:pt idx="0">
                  <c:v>Total</c:v>
                </c:pt>
              </c:strCache>
            </c:strRef>
          </c:tx>
          <c:spPr>
            <a:ln w="28575" cap="rnd">
              <a:gradFill>
                <a:gsLst>
                  <a:gs pos="0">
                    <a:srgbClr val="002060"/>
                  </a:gs>
                  <a:gs pos="77000">
                    <a:srgbClr val="8701DA"/>
                  </a:gs>
                </a:gsLst>
                <a:lin ang="5400000" scaled="1"/>
              </a:gradFill>
              <a:round/>
            </a:ln>
            <a:effectLst/>
          </c:spPr>
          <c:marker>
            <c:symbol val="none"/>
          </c:marker>
          <c:dPt>
            <c:idx val="0"/>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0-2FD8-41DD-BBAD-EE488E21E4B7}"/>
              </c:ext>
            </c:extLst>
          </c:dPt>
          <c:dPt>
            <c:idx val="1"/>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1-2FD8-41DD-BBAD-EE488E21E4B7}"/>
              </c:ext>
            </c:extLst>
          </c:dPt>
          <c:dPt>
            <c:idx val="2"/>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2-2FD8-41DD-BBAD-EE488E21E4B7}"/>
              </c:ext>
            </c:extLst>
          </c:dPt>
          <c:dPt>
            <c:idx val="3"/>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3-2FD8-41DD-BBAD-EE488E21E4B7}"/>
              </c:ext>
            </c:extLst>
          </c:dPt>
          <c:dPt>
            <c:idx val="4"/>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4-2FD8-41DD-BBAD-EE488E21E4B7}"/>
              </c:ext>
            </c:extLst>
          </c:dPt>
          <c:dPt>
            <c:idx val="5"/>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5-2FD8-41DD-BBAD-EE488E21E4B7}"/>
              </c:ext>
            </c:extLst>
          </c:dPt>
          <c:dPt>
            <c:idx val="6"/>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6-2FD8-41DD-BBAD-EE488E21E4B7}"/>
              </c:ext>
            </c:extLst>
          </c:dPt>
          <c:dPt>
            <c:idx val="7"/>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8-2FD8-41DD-BBAD-EE488E21E4B7}"/>
              </c:ext>
            </c:extLst>
          </c:dPt>
          <c:dPt>
            <c:idx val="8"/>
            <c:marker>
              <c:symbol val="none"/>
            </c:marker>
            <c:bubble3D val="0"/>
            <c:spPr>
              <a:ln w="28575" cap="rnd">
                <a:gradFill>
                  <a:gsLst>
                    <a:gs pos="0">
                      <a:srgbClr val="002060"/>
                    </a:gs>
                    <a:gs pos="77000">
                      <a:srgbClr val="8701DA"/>
                    </a:gs>
                  </a:gsLst>
                  <a:lin ang="5400000" scaled="1"/>
                </a:gradFill>
                <a:round/>
              </a:ln>
              <a:effectLst/>
            </c:spPr>
            <c:extLst>
              <c:ext xmlns:c16="http://schemas.microsoft.com/office/drawing/2014/chart" uri="{C3380CC4-5D6E-409C-BE32-E72D297353CC}">
                <c16:uniqueId val="{00000007-2FD8-41DD-BBAD-EE488E21E4B7}"/>
              </c:ext>
            </c:extLst>
          </c:dPt>
          <c:dLbls>
            <c:dLbl>
              <c:idx val="0"/>
              <c:layout>
                <c:manualLayout>
                  <c:x val="-6.1331055064817404E-2"/>
                  <c:y val="-0.34363409491846308"/>
                </c:manualLayout>
              </c:layout>
              <c:tx>
                <c:rich>
                  <a:bodyPr/>
                  <a:lstStyle/>
                  <a:p>
                    <a:fld id="{A7D6A719-9708-4B6E-920C-1CF222CE6A65}"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2FD8-41DD-BBAD-EE488E21E4B7}"/>
                </c:ext>
              </c:extLst>
            </c:dLbl>
            <c:dLbl>
              <c:idx val="1"/>
              <c:layout>
                <c:manualLayout>
                  <c:x val="-7.3910827770894139E-2"/>
                  <c:y val="-0.3077816492450639"/>
                </c:manualLayout>
              </c:layout>
              <c:tx>
                <c:rich>
                  <a:bodyPr/>
                  <a:lstStyle/>
                  <a:p>
                    <a:fld id="{49E87319-C007-444C-9B07-2DC124F89EEE}"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FD8-41DD-BBAD-EE488E21E4B7}"/>
                </c:ext>
              </c:extLst>
            </c:dLbl>
            <c:dLbl>
              <c:idx val="2"/>
              <c:layout>
                <c:manualLayout>
                  <c:x val="-9.8107105266663996E-2"/>
                  <c:y val="-0.41811846689895477"/>
                </c:manualLayout>
              </c:layout>
              <c:tx>
                <c:rich>
                  <a:bodyPr/>
                  <a:lstStyle/>
                  <a:p>
                    <a:fld id="{9FE6AC3E-424A-4164-A93F-05BAA873CDB8}"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2FD8-41DD-BBAD-EE488E21E4B7}"/>
                </c:ext>
              </c:extLst>
            </c:dLbl>
            <c:dLbl>
              <c:idx val="3"/>
              <c:layout>
                <c:manualLayout>
                  <c:x val="-0.10656734215329687"/>
                  <c:y val="-0.38908246225319398"/>
                </c:manualLayout>
              </c:layout>
              <c:tx>
                <c:rich>
                  <a:bodyPr/>
                  <a:lstStyle/>
                  <a:p>
                    <a:fld id="{BF1C5DA5-CAD6-4283-8A33-A00720022181}"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2FD8-41DD-BBAD-EE488E21E4B7}"/>
                </c:ext>
              </c:extLst>
            </c:dLbl>
            <c:dLbl>
              <c:idx val="4"/>
              <c:layout>
                <c:manualLayout>
                  <c:x val="-0.11079746059661325"/>
                  <c:y val="-0.31939605110336822"/>
                </c:manualLayout>
              </c:layout>
              <c:tx>
                <c:rich>
                  <a:bodyPr/>
                  <a:lstStyle/>
                  <a:p>
                    <a:fld id="{E4174F4F-1FEC-4DF3-ABC3-522A9C78035A}"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2FD8-41DD-BBAD-EE488E21E4B7}"/>
                </c:ext>
              </c:extLst>
            </c:dLbl>
            <c:dLbl>
              <c:idx val="5"/>
              <c:layout>
                <c:manualLayout>
                  <c:x val="-0.10656734215329683"/>
                  <c:y val="-0.23809523809523808"/>
                </c:manualLayout>
              </c:layout>
              <c:tx>
                <c:rich>
                  <a:bodyPr/>
                  <a:lstStyle/>
                  <a:p>
                    <a:fld id="{CBFE3C26-AF3E-4575-B1B5-FCA8F6DDD605}"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2FD8-41DD-BBAD-EE488E21E4B7}"/>
                </c:ext>
              </c:extLst>
            </c:dLbl>
            <c:dLbl>
              <c:idx val="6"/>
              <c:layout>
                <c:manualLayout>
                  <c:x val="-0.11502757903992973"/>
                  <c:y val="-0.15098722415795587"/>
                </c:manualLayout>
              </c:layout>
              <c:tx>
                <c:rich>
                  <a:bodyPr/>
                  <a:lstStyle/>
                  <a:p>
                    <a:fld id="{F1EA8E93-F54E-4A69-A13B-3BF644FB2332}"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2FD8-41DD-BBAD-EE488E21E4B7}"/>
                </c:ext>
              </c:extLst>
            </c:dLbl>
            <c:dLbl>
              <c:idx val="7"/>
              <c:layout>
                <c:manualLayout>
                  <c:x val="-0.10656734215329683"/>
                  <c:y val="-8.7108013937282236E-2"/>
                </c:manualLayout>
              </c:layout>
              <c:tx>
                <c:rich>
                  <a:bodyPr/>
                  <a:lstStyle/>
                  <a:p>
                    <a:fld id="{15A567FE-80F7-4907-9C8B-E05DD803283F}"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2FD8-41DD-BBAD-EE488E21E4B7}"/>
                </c:ext>
              </c:extLst>
            </c:dLbl>
            <c:dLbl>
              <c:idx val="8"/>
              <c:layout>
                <c:manualLayout>
                  <c:x val="-6.1331055064817404E-2"/>
                  <c:y val="-0.34363409491846308"/>
                </c:manualLayout>
              </c:layout>
              <c:tx>
                <c:rich>
                  <a:bodyPr/>
                  <a:lstStyle/>
                  <a:p>
                    <a:fld id="{A7D6A719-9708-4B6E-920C-1CF222CE6A65}" type="VALUE">
                      <a:rPr lang="en-US">
                        <a:solidFill>
                          <a:schemeClr val="tx2">
                            <a:lumMod val="25000"/>
                            <a:lumOff val="75000"/>
                          </a:schemeClr>
                        </a:solidFill>
                      </a:rPr>
                      <a:pPr/>
                      <a:t>[VALUE]</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2FD8-41DD-BBAD-EE488E21E4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gradFill>
                        <a:gsLst>
                          <a:gs pos="0">
                            <a:schemeClr val="accent1">
                              <a:lumMod val="5000"/>
                              <a:lumOff val="95000"/>
                            </a:schemeClr>
                          </a:gs>
                          <a:gs pos="100000">
                            <a:schemeClr val="accent1">
                              <a:lumMod val="30000"/>
                              <a:lumOff val="70000"/>
                            </a:schemeClr>
                          </a:gs>
                        </a:gsLst>
                        <a:lin ang="5400000" scaled="1"/>
                      </a:gradFill>
                      <a:round/>
                    </a:ln>
                    <a:effectLst/>
                  </c:spPr>
                </c15:leaderLines>
              </c:ext>
            </c:extLst>
          </c:dLbls>
          <c:cat>
            <c:strRef>
              <c:f>'ask-question'!$G$23:$G$32</c:f>
              <c:strCache>
                <c:ptCount val="9"/>
                <c:pt idx="0">
                  <c:v>اسود</c:v>
                </c:pt>
                <c:pt idx="1">
                  <c:v>ابيض</c:v>
                </c:pt>
                <c:pt idx="2">
                  <c:v>رمادى</c:v>
                </c:pt>
                <c:pt idx="3">
                  <c:v>ملون</c:v>
                </c:pt>
                <c:pt idx="4">
                  <c:v>بينك</c:v>
                </c:pt>
                <c:pt idx="5">
                  <c:v>بنفسجى</c:v>
                </c:pt>
                <c:pt idx="6">
                  <c:v>ازرق</c:v>
                </c:pt>
                <c:pt idx="7">
                  <c:v>دهبي</c:v>
                </c:pt>
                <c:pt idx="8">
                  <c:v>نبيتى</c:v>
                </c:pt>
              </c:strCache>
            </c:strRef>
          </c:cat>
          <c:val>
            <c:numRef>
              <c:f>'ask-question'!$H$23:$H$32</c:f>
              <c:numCache>
                <c:formatCode>_("$"* #,##0_);_("$"* \(#,##0\);_("$"* "-"??_);_(@_)</c:formatCode>
                <c:ptCount val="9"/>
                <c:pt idx="0">
                  <c:v>587622</c:v>
                </c:pt>
                <c:pt idx="1">
                  <c:v>375957</c:v>
                </c:pt>
                <c:pt idx="2">
                  <c:v>82208</c:v>
                </c:pt>
                <c:pt idx="3">
                  <c:v>27572.405440000002</c:v>
                </c:pt>
                <c:pt idx="4">
                  <c:v>25798</c:v>
                </c:pt>
                <c:pt idx="5">
                  <c:v>25244</c:v>
                </c:pt>
                <c:pt idx="6">
                  <c:v>18316</c:v>
                </c:pt>
                <c:pt idx="7">
                  <c:v>15528</c:v>
                </c:pt>
                <c:pt idx="8">
                  <c:v>5135</c:v>
                </c:pt>
              </c:numCache>
            </c:numRef>
          </c:val>
          <c:smooth val="0"/>
          <c:extLst>
            <c:ext xmlns:c16="http://schemas.microsoft.com/office/drawing/2014/chart" uri="{C3380CC4-5D6E-409C-BE32-E72D297353CC}">
              <c16:uniqueId val="{00000000-B403-4052-98E4-1B668828AE77}"/>
            </c:ext>
          </c:extLst>
        </c:ser>
        <c:dLbls>
          <c:dLblPos val="ctr"/>
          <c:showLegendKey val="0"/>
          <c:showVal val="1"/>
          <c:showCatName val="0"/>
          <c:showSerName val="0"/>
          <c:showPercent val="0"/>
          <c:showBubbleSize val="0"/>
        </c:dLbls>
        <c:smooth val="0"/>
        <c:axId val="56425151"/>
        <c:axId val="56423711"/>
      </c:lineChart>
      <c:catAx>
        <c:axId val="56425151"/>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56423711"/>
        <c:crosses val="autoZero"/>
        <c:auto val="1"/>
        <c:lblAlgn val="ctr"/>
        <c:lblOffset val="100"/>
        <c:noMultiLvlLbl val="0"/>
      </c:catAx>
      <c:valAx>
        <c:axId val="56423711"/>
        <c:scaling>
          <c:orientation val="minMax"/>
        </c:scaling>
        <c:delete val="1"/>
        <c:axPos val="l"/>
        <c:numFmt formatCode="_(&quot;$&quot;* #,##0_);_(&quot;$&quot;* \(#,##0\);_(&quot;$&quot;* &quot;-&quot;??_);_(@_)" sourceLinked="1"/>
        <c:majorTickMark val="none"/>
        <c:minorTickMark val="none"/>
        <c:tickLblPos val="nextTo"/>
        <c:crossAx val="56425151"/>
        <c:crosses val="autoZero"/>
        <c:crossBetween val="between"/>
      </c:valAx>
      <c:spPr>
        <a:noFill/>
        <a:ln>
          <a:noFill/>
        </a:ln>
        <a:effectLst>
          <a:outerShdw blurRad="190500" dist="190500" dir="8100000" algn="tr" rotWithShape="0">
            <a:prstClr val="black">
              <a:alpha val="5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190500" dist="190500" dir="8100000" algn="tr"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Wahbaa.xlsm]ask-question!PivotTable25</c:name>
    <c:fmtId val="2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chemeClr val="tx2">
                    <a:lumMod val="25000"/>
                    <a:lumOff val="75000"/>
                  </a:schemeClr>
                </a:solidFill>
              </a:rPr>
              <a:t>Best Category Sold</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860166-30CB-4211-BB82-003D39D4FAB0}"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D731B73-3327-4C0F-A1EC-BD586874842E}"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EBC63C2-2126-42A7-B583-C9D76998AB08}"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13C4680-8E86-47B7-86C3-72D08C069C5D}"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4020433-7A17-4935-AA92-68F0D8750C64}"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col"/>
        <c:grouping val="clustered"/>
        <c:varyColors val="0"/>
        <c:ser>
          <c:idx val="0"/>
          <c:order val="0"/>
          <c:tx>
            <c:strRef>
              <c:f>'ask-question'!$D$22</c:f>
              <c:strCache>
                <c:ptCount val="1"/>
                <c:pt idx="0">
                  <c:v>Total</c:v>
                </c:pt>
              </c:strCache>
            </c:strRef>
          </c:tx>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invertIfNegative val="0"/>
          <c:dPt>
            <c:idx val="0"/>
            <c:invertIfNegative val="0"/>
            <c:bubble3D val="0"/>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extLst>
              <c:ext xmlns:c16="http://schemas.microsoft.com/office/drawing/2014/chart" uri="{C3380CC4-5D6E-409C-BE32-E72D297353CC}">
                <c16:uniqueId val="{00000001-FA79-4236-86E5-3E5A7F8C60FE}"/>
              </c:ext>
            </c:extLst>
          </c:dPt>
          <c:dPt>
            <c:idx val="1"/>
            <c:invertIfNegative val="0"/>
            <c:bubble3D val="0"/>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extLst>
              <c:ext xmlns:c16="http://schemas.microsoft.com/office/drawing/2014/chart" uri="{C3380CC4-5D6E-409C-BE32-E72D297353CC}">
                <c16:uniqueId val="{00000002-FA79-4236-86E5-3E5A7F8C60FE}"/>
              </c:ext>
            </c:extLst>
          </c:dPt>
          <c:dPt>
            <c:idx val="2"/>
            <c:invertIfNegative val="0"/>
            <c:bubble3D val="0"/>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extLst>
              <c:ext xmlns:c16="http://schemas.microsoft.com/office/drawing/2014/chart" uri="{C3380CC4-5D6E-409C-BE32-E72D297353CC}">
                <c16:uniqueId val="{00000003-FA79-4236-86E5-3E5A7F8C60FE}"/>
              </c:ext>
            </c:extLst>
          </c:dPt>
          <c:dPt>
            <c:idx val="3"/>
            <c:invertIfNegative val="0"/>
            <c:bubble3D val="0"/>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extLst>
              <c:ext xmlns:c16="http://schemas.microsoft.com/office/drawing/2014/chart" uri="{C3380CC4-5D6E-409C-BE32-E72D297353CC}">
                <c16:uniqueId val="{00000004-FA79-4236-86E5-3E5A7F8C60FE}"/>
              </c:ext>
            </c:extLst>
          </c:dPt>
          <c:dPt>
            <c:idx val="4"/>
            <c:invertIfNegative val="0"/>
            <c:bubble3D val="0"/>
            <c:spPr>
              <a:gradFill>
                <a:gsLst>
                  <a:gs pos="0">
                    <a:srgbClr val="7C93FD">
                      <a:alpha val="94902"/>
                    </a:srgbClr>
                  </a:gs>
                  <a:gs pos="58000">
                    <a:srgbClr val="1B2399"/>
                  </a:gs>
                </a:gsLst>
                <a:lin ang="5400000" scaled="1"/>
              </a:gradFill>
              <a:ln w="101600">
                <a:gradFill>
                  <a:gsLst>
                    <a:gs pos="0">
                      <a:srgbClr val="374AEC"/>
                    </a:gs>
                    <a:gs pos="100000">
                      <a:srgbClr val="4641D1"/>
                    </a:gs>
                  </a:gsLst>
                  <a:lin ang="5400000" scaled="1"/>
                </a:gradFill>
              </a:ln>
              <a:effectLst/>
            </c:spPr>
            <c:extLst>
              <c:ext xmlns:c16="http://schemas.microsoft.com/office/drawing/2014/chart" uri="{C3380CC4-5D6E-409C-BE32-E72D297353CC}">
                <c16:uniqueId val="{00000005-FA79-4236-86E5-3E5A7F8C60FE}"/>
              </c:ext>
            </c:extLst>
          </c:dPt>
          <c:dLbls>
            <c:dLbl>
              <c:idx val="0"/>
              <c:tx>
                <c:rich>
                  <a:bodyPr/>
                  <a:lstStyle/>
                  <a:p>
                    <a:fld id="{43860166-30CB-4211-BB82-003D39D4FAB0}"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A79-4236-86E5-3E5A7F8C60FE}"/>
                </c:ext>
              </c:extLst>
            </c:dLbl>
            <c:dLbl>
              <c:idx val="1"/>
              <c:tx>
                <c:rich>
                  <a:bodyPr/>
                  <a:lstStyle/>
                  <a:p>
                    <a:fld id="{5D731B73-3327-4C0F-A1EC-BD586874842E}"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FA79-4236-86E5-3E5A7F8C60FE}"/>
                </c:ext>
              </c:extLst>
            </c:dLbl>
            <c:dLbl>
              <c:idx val="2"/>
              <c:tx>
                <c:rich>
                  <a:bodyPr/>
                  <a:lstStyle/>
                  <a:p>
                    <a:fld id="{DEBC63C2-2126-42A7-B583-C9D76998AB08}"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A79-4236-86E5-3E5A7F8C60FE}"/>
                </c:ext>
              </c:extLst>
            </c:dLbl>
            <c:dLbl>
              <c:idx val="3"/>
              <c:tx>
                <c:rich>
                  <a:bodyPr/>
                  <a:lstStyle/>
                  <a:p>
                    <a:fld id="{513C4680-8E86-47B7-86C3-72D08C069C5D}"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FA79-4236-86E5-3E5A7F8C60FE}"/>
                </c:ext>
              </c:extLst>
            </c:dLbl>
            <c:dLbl>
              <c:idx val="4"/>
              <c:tx>
                <c:rich>
                  <a:bodyPr/>
                  <a:lstStyle/>
                  <a:p>
                    <a:fld id="{F4020433-7A17-4935-AA92-68F0D8750C64}"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FA79-4236-86E5-3E5A7F8C60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'ask-question'!$C$23:$C$28</c:f>
              <c:strCache>
                <c:ptCount val="5"/>
                <c:pt idx="0">
                  <c:v>سرير</c:v>
                </c:pt>
                <c:pt idx="1">
                  <c:v>كنبه</c:v>
                </c:pt>
                <c:pt idx="2">
                  <c:v>ترابيزه</c:v>
                </c:pt>
                <c:pt idx="3">
                  <c:v>ركنة</c:v>
                </c:pt>
                <c:pt idx="4">
                  <c:v>كرسى</c:v>
                </c:pt>
              </c:strCache>
            </c:strRef>
          </c:cat>
          <c:val>
            <c:numRef>
              <c:f>'ask-question'!$D$23:$D$28</c:f>
              <c:numCache>
                <c:formatCode>_("$"* #,##0_);_("$"* \(#,##0\);_("$"* "-"??_);_(@_)</c:formatCode>
                <c:ptCount val="5"/>
                <c:pt idx="0">
                  <c:v>788035.40544</c:v>
                </c:pt>
                <c:pt idx="1">
                  <c:v>219235</c:v>
                </c:pt>
                <c:pt idx="2">
                  <c:v>115510</c:v>
                </c:pt>
                <c:pt idx="3">
                  <c:v>22000</c:v>
                </c:pt>
                <c:pt idx="4">
                  <c:v>18600</c:v>
                </c:pt>
              </c:numCache>
            </c:numRef>
          </c:val>
          <c:extLst>
            <c:ext xmlns:c16="http://schemas.microsoft.com/office/drawing/2014/chart" uri="{C3380CC4-5D6E-409C-BE32-E72D297353CC}">
              <c16:uniqueId val="{00000000-FA79-4236-86E5-3E5A7F8C60FE}"/>
            </c:ext>
          </c:extLst>
        </c:ser>
        <c:dLbls>
          <c:showLegendKey val="0"/>
          <c:showVal val="1"/>
          <c:showCatName val="0"/>
          <c:showSerName val="0"/>
          <c:showPercent val="0"/>
          <c:showBubbleSize val="0"/>
        </c:dLbls>
        <c:gapWidth val="150"/>
        <c:overlap val="-25"/>
        <c:axId val="1396771392"/>
        <c:axId val="1396781472"/>
      </c:barChart>
      <c:catAx>
        <c:axId val="139677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6781472"/>
        <c:crosses val="autoZero"/>
        <c:auto val="1"/>
        <c:lblAlgn val="ctr"/>
        <c:lblOffset val="100"/>
        <c:noMultiLvlLbl val="0"/>
      </c:catAx>
      <c:valAx>
        <c:axId val="1396781472"/>
        <c:scaling>
          <c:orientation val="minMax"/>
        </c:scaling>
        <c:delete val="1"/>
        <c:axPos val="l"/>
        <c:numFmt formatCode="_(&quot;$&quot;* #,##0_);_(&quot;$&quot;* \(#,##0\);_(&quot;$&quot;* &quot;-&quot;??_);_(@_)" sourceLinked="1"/>
        <c:majorTickMark val="none"/>
        <c:minorTickMark val="none"/>
        <c:tickLblPos val="nextTo"/>
        <c:crossAx val="1396771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190500" dist="190500" dir="8100000" algn="tr"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 project Nader Ahmed Wahbaa.xlsm]ask-question!PivotTable22</c:name>
    <c:fmtId val="23"/>
  </c:pivotSource>
  <c:chart>
    <c:title>
      <c:tx>
        <c:rich>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r>
              <a:rPr lang="en-US" sz="1400" b="0" i="0" u="none" strike="noStrike" cap="none" baseline="0"/>
              <a:t>Units Sold by Platform</a:t>
            </a:r>
            <a:endParaRPr lang="en-US" sz="1100"/>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C14D4B6-F41D-43FB-8DF4-F8EA814DBEC9}"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28757D70-49E9-468F-8FAB-25C02D30D687}"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0B86D87A-FBEC-4985-8F0D-D5B692B0C96A}"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D17366D-80A8-4C36-BFF3-7CF3B0F6D938}"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123DD70-A761-431E-87FE-49A9F197BEEA}"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C846387E-57F6-4938-8CF3-40C97D81BB53}"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1A7F7AEC-7161-4EF6-9E15-CD5BD066F52A}"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356ACC8B-31BC-41FC-BD3F-4969E98A72F7}" type="VALUE">
                  <a:rPr lang="en-US">
                    <a:solidFill>
                      <a:schemeClr val="tx2">
                        <a:lumMod val="25000"/>
                        <a:lumOff val="75000"/>
                      </a:schemeClr>
                    </a:solidFill>
                  </a:rPr>
                  <a:pPr>
                    <a:defRPr sz="900" b="0" i="0" u="none" strike="noStrike" kern="1200" baseline="0">
                      <a:solidFill>
                        <a:schemeClr val="lt1">
                          <a:lumMod val="7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C14D4B6-F41D-43FB-8DF4-F8EA814DBEC9}"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28757D70-49E9-468F-8FAB-25C02D30D687}"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0B86D87A-FBEC-4985-8F0D-D5B692B0C96A}"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D17366D-80A8-4C36-BFF3-7CF3B0F6D938}"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6"/>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123DD70-A761-431E-87FE-49A9F197BEEA}"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C846387E-57F6-4938-8CF3-40C97D81BB53}"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8"/>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1A7F7AEC-7161-4EF6-9E15-CD5BD066F52A}"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9"/>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356ACC8B-31BC-41FC-BD3F-4969E98A72F7}" type="VALUE">
                  <a:rPr lang="en-US">
                    <a:solidFill>
                      <a:schemeClr val="tx2">
                        <a:lumMod val="25000"/>
                        <a:lumOff val="75000"/>
                      </a:schemeClr>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col"/>
        <c:grouping val="clustered"/>
        <c:varyColors val="0"/>
        <c:ser>
          <c:idx val="0"/>
          <c:order val="0"/>
          <c:tx>
            <c:strRef>
              <c:f>'ask-question'!$O$25</c:f>
              <c:strCache>
                <c:ptCount val="1"/>
                <c:pt idx="0">
                  <c:v>Total</c:v>
                </c:pt>
              </c:strCache>
            </c:strRef>
          </c:tx>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invertIfNegative val="0"/>
          <c:dPt>
            <c:idx val="0"/>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1-7BFA-45DC-8CC3-5746C9A6F4D9}"/>
              </c:ext>
            </c:extLst>
          </c:dPt>
          <c:dPt>
            <c:idx val="1"/>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2-7BFA-45DC-8CC3-5746C9A6F4D9}"/>
              </c:ext>
            </c:extLst>
          </c:dPt>
          <c:dPt>
            <c:idx val="2"/>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3-7BFA-45DC-8CC3-5746C9A6F4D9}"/>
              </c:ext>
            </c:extLst>
          </c:dPt>
          <c:dPt>
            <c:idx val="3"/>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4-7BFA-45DC-8CC3-5746C9A6F4D9}"/>
              </c:ext>
            </c:extLst>
          </c:dPt>
          <c:dPt>
            <c:idx val="4"/>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5-7BFA-45DC-8CC3-5746C9A6F4D9}"/>
              </c:ext>
            </c:extLst>
          </c:dPt>
          <c:dPt>
            <c:idx val="5"/>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6-7BFA-45DC-8CC3-5746C9A6F4D9}"/>
              </c:ext>
            </c:extLst>
          </c:dPt>
          <c:dPt>
            <c:idx val="6"/>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7-7BFA-45DC-8CC3-5746C9A6F4D9}"/>
              </c:ext>
            </c:extLst>
          </c:dPt>
          <c:dPt>
            <c:idx val="7"/>
            <c:invertIfNegative val="0"/>
            <c:bubble3D val="0"/>
            <c:spPr>
              <a:gradFill>
                <a:gsLst>
                  <a:gs pos="0">
                    <a:srgbClr val="7C93FD">
                      <a:lumMod val="98000"/>
                      <a:lumOff val="2000"/>
                    </a:srgbClr>
                  </a:gs>
                  <a:gs pos="100000">
                    <a:srgbClr val="1B2399"/>
                  </a:gs>
                </a:gsLst>
                <a:lin ang="5400000" scaled="0"/>
              </a:gradFill>
              <a:ln w="76200" cap="flat" cmpd="sng" algn="ctr">
                <a:solidFill>
                  <a:srgbClr val="4641D1">
                    <a:alpha val="69804"/>
                  </a:srgbClr>
                </a:solidFill>
                <a:miter lim="800000"/>
              </a:ln>
              <a:effectLst>
                <a:glow rad="76200">
                  <a:schemeClr val="accent1">
                    <a:satMod val="175000"/>
                    <a:alpha val="34000"/>
                  </a:schemeClr>
                </a:glow>
              </a:effectLst>
            </c:spPr>
            <c:extLst>
              <c:ext xmlns:c16="http://schemas.microsoft.com/office/drawing/2014/chart" uri="{C3380CC4-5D6E-409C-BE32-E72D297353CC}">
                <c16:uniqueId val="{00000008-7BFA-45DC-8CC3-5746C9A6F4D9}"/>
              </c:ext>
            </c:extLst>
          </c:dPt>
          <c:dLbls>
            <c:dLbl>
              <c:idx val="0"/>
              <c:tx>
                <c:rich>
                  <a:bodyPr/>
                  <a:lstStyle/>
                  <a:p>
                    <a:fld id="{9C14D4B6-F41D-43FB-8DF4-F8EA814DBEC9}"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BFA-45DC-8CC3-5746C9A6F4D9}"/>
                </c:ext>
              </c:extLst>
            </c:dLbl>
            <c:dLbl>
              <c:idx val="1"/>
              <c:tx>
                <c:rich>
                  <a:bodyPr/>
                  <a:lstStyle/>
                  <a:p>
                    <a:fld id="{28757D70-49E9-468F-8FAB-25C02D30D687}"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BFA-45DC-8CC3-5746C9A6F4D9}"/>
                </c:ext>
              </c:extLst>
            </c:dLbl>
            <c:dLbl>
              <c:idx val="2"/>
              <c:tx>
                <c:rich>
                  <a:bodyPr/>
                  <a:lstStyle/>
                  <a:p>
                    <a:fld id="{0B86D87A-FBEC-4985-8F0D-D5B692B0C96A}"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BFA-45DC-8CC3-5746C9A6F4D9}"/>
                </c:ext>
              </c:extLst>
            </c:dLbl>
            <c:dLbl>
              <c:idx val="3"/>
              <c:tx>
                <c:rich>
                  <a:bodyPr/>
                  <a:lstStyle/>
                  <a:p>
                    <a:fld id="{AD17366D-80A8-4C36-BFF3-7CF3B0F6D938}"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7BFA-45DC-8CC3-5746C9A6F4D9}"/>
                </c:ext>
              </c:extLst>
            </c:dLbl>
            <c:dLbl>
              <c:idx val="4"/>
              <c:tx>
                <c:rich>
                  <a:bodyPr/>
                  <a:lstStyle/>
                  <a:p>
                    <a:fld id="{A123DD70-A761-431E-87FE-49A9F197BEEA}"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7BFA-45DC-8CC3-5746C9A6F4D9}"/>
                </c:ext>
              </c:extLst>
            </c:dLbl>
            <c:dLbl>
              <c:idx val="5"/>
              <c:tx>
                <c:rich>
                  <a:bodyPr/>
                  <a:lstStyle/>
                  <a:p>
                    <a:fld id="{C846387E-57F6-4938-8CF3-40C97D81BB53}"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7BFA-45DC-8CC3-5746C9A6F4D9}"/>
                </c:ext>
              </c:extLst>
            </c:dLbl>
            <c:dLbl>
              <c:idx val="6"/>
              <c:tx>
                <c:rich>
                  <a:bodyPr/>
                  <a:lstStyle/>
                  <a:p>
                    <a:fld id="{1A7F7AEC-7161-4EF6-9E15-CD5BD066F52A}"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BFA-45DC-8CC3-5746C9A6F4D9}"/>
                </c:ext>
              </c:extLst>
            </c:dLbl>
            <c:dLbl>
              <c:idx val="7"/>
              <c:tx>
                <c:rich>
                  <a:bodyPr/>
                  <a:lstStyle/>
                  <a:p>
                    <a:fld id="{356ACC8B-31BC-41FC-BD3F-4969E98A72F7}" type="VALUE">
                      <a:rPr lang="en-US">
                        <a:solidFill>
                          <a:schemeClr val="tx2">
                            <a:lumMod val="25000"/>
                            <a:lumOff val="75000"/>
                          </a:schemeClr>
                        </a:solidFill>
                      </a:rPr>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7BFA-45DC-8CC3-5746C9A6F4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'ask-question'!$N$26:$N$34</c:f>
              <c:strCache>
                <c:ptCount val="8"/>
                <c:pt idx="0">
                  <c:v>هومزمارت</c:v>
                </c:pt>
                <c:pt idx="1">
                  <c:v>منزلي</c:v>
                </c:pt>
                <c:pt idx="2">
                  <c:v>كيمت</c:v>
                </c:pt>
                <c:pt idx="3">
                  <c:v>فيسبوك</c:v>
                </c:pt>
                <c:pt idx="4">
                  <c:v>شيك هومز</c:v>
                </c:pt>
                <c:pt idx="5">
                  <c:v>تاكي</c:v>
                </c:pt>
                <c:pt idx="6">
                  <c:v>اوسكار ريتن</c:v>
                </c:pt>
                <c:pt idx="7">
                  <c:v>السويس</c:v>
                </c:pt>
              </c:strCache>
            </c:strRef>
          </c:cat>
          <c:val>
            <c:numRef>
              <c:f>'ask-question'!$O$26:$O$34</c:f>
              <c:numCache>
                <c:formatCode>0</c:formatCode>
                <c:ptCount val="8"/>
                <c:pt idx="0">
                  <c:v>78</c:v>
                </c:pt>
                <c:pt idx="1">
                  <c:v>2</c:v>
                </c:pt>
                <c:pt idx="2">
                  <c:v>1</c:v>
                </c:pt>
                <c:pt idx="3">
                  <c:v>2</c:v>
                </c:pt>
                <c:pt idx="4">
                  <c:v>13</c:v>
                </c:pt>
                <c:pt idx="5">
                  <c:v>8</c:v>
                </c:pt>
                <c:pt idx="6">
                  <c:v>11</c:v>
                </c:pt>
                <c:pt idx="7">
                  <c:v>3</c:v>
                </c:pt>
              </c:numCache>
            </c:numRef>
          </c:val>
          <c:extLst>
            <c:ext xmlns:c16="http://schemas.microsoft.com/office/drawing/2014/chart" uri="{C3380CC4-5D6E-409C-BE32-E72D297353CC}">
              <c16:uniqueId val="{00000000-7BFA-45DC-8CC3-5746C9A6F4D9}"/>
            </c:ext>
          </c:extLst>
        </c:ser>
        <c:dLbls>
          <c:showLegendKey val="0"/>
          <c:showVal val="1"/>
          <c:showCatName val="0"/>
          <c:showSerName val="0"/>
          <c:showPercent val="0"/>
          <c:showBubbleSize val="0"/>
        </c:dLbls>
        <c:gapWidth val="150"/>
        <c:overlap val="-25"/>
        <c:axId val="1396769952"/>
        <c:axId val="1396771872"/>
      </c:barChart>
      <c:catAx>
        <c:axId val="13967699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96771872"/>
        <c:crosses val="autoZero"/>
        <c:auto val="1"/>
        <c:lblAlgn val="ctr"/>
        <c:lblOffset val="100"/>
        <c:noMultiLvlLbl val="0"/>
      </c:catAx>
      <c:valAx>
        <c:axId val="1396771872"/>
        <c:scaling>
          <c:orientation val="minMax"/>
        </c:scaling>
        <c:delete val="1"/>
        <c:axPos val="l"/>
        <c:numFmt formatCode="0" sourceLinked="1"/>
        <c:majorTickMark val="none"/>
        <c:minorTickMark val="none"/>
        <c:tickLblPos val="nextTo"/>
        <c:crossAx val="1396769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shboard!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Dashboard!A1"/><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2.png"/><Relationship Id="rId2" Type="http://schemas.openxmlformats.org/officeDocument/2006/relationships/hyperlink" Target="#'intro page'!A1"/><Relationship Id="rId1" Type="http://schemas.openxmlformats.org/officeDocument/2006/relationships/image" Target="../media/image3.png"/><Relationship Id="rId6" Type="http://schemas.openxmlformats.org/officeDocument/2006/relationships/image" Target="../media/image7.svg"/><Relationship Id="rId11" Type="http://schemas.openxmlformats.org/officeDocument/2006/relationships/image" Target="../media/image11.svg"/><Relationship Id="rId5" Type="http://schemas.openxmlformats.org/officeDocument/2006/relationships/image" Target="../media/image6.png"/><Relationship Id="rId15" Type="http://schemas.openxmlformats.org/officeDocument/2006/relationships/image" Target="../media/image13.svg"/><Relationship Id="rId10" Type="http://schemas.openxmlformats.org/officeDocument/2006/relationships/image" Target="../media/image10.png"/><Relationship Id="rId4" Type="http://schemas.openxmlformats.org/officeDocument/2006/relationships/image" Target="../media/image5.svg"/><Relationship Id="rId9" Type="http://schemas.openxmlformats.org/officeDocument/2006/relationships/hyperlink" Target="#'Data Source'!A1"/><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2.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hyperlink" Target="#Dashboard!A1"/><Relationship Id="rId2" Type="http://schemas.openxmlformats.org/officeDocument/2006/relationships/hyperlink" Target="#'intro page'!A1"/><Relationship Id="rId1" Type="http://schemas.openxmlformats.org/officeDocument/2006/relationships/image" Target="../media/image14.png"/><Relationship Id="rId6" Type="http://schemas.openxmlformats.org/officeDocument/2006/relationships/image" Target="../media/image7.svg"/><Relationship Id="rId11" Type="http://schemas.openxmlformats.org/officeDocument/2006/relationships/image" Target="../media/image16.svg"/><Relationship Id="rId5" Type="http://schemas.openxmlformats.org/officeDocument/2006/relationships/image" Target="../media/image6.png"/><Relationship Id="rId10" Type="http://schemas.openxmlformats.org/officeDocument/2006/relationships/image" Target="../media/image15.png"/><Relationship Id="rId4" Type="http://schemas.openxmlformats.org/officeDocument/2006/relationships/image" Target="../media/image5.svg"/><Relationship Id="rId9" Type="http://schemas.openxmlformats.org/officeDocument/2006/relationships/hyperlink" Target="#'ask-question'!A1"/><Relationship Id="rId14" Type="http://schemas.openxmlformats.org/officeDocument/2006/relationships/image" Target="../media/image13.svg"/></Relationships>
</file>

<file path=xl/drawings/_rels/drawing4.xml.rels><?xml version="1.0" encoding="UTF-8" standalone="yes"?>
<Relationships xmlns="http://schemas.openxmlformats.org/package/2006/relationships"><Relationship Id="rId8" Type="http://schemas.openxmlformats.org/officeDocument/2006/relationships/hyperlink" Target="#Sheet1!A1"/><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2.png"/><Relationship Id="rId1" Type="http://schemas.openxmlformats.org/officeDocument/2006/relationships/hyperlink" Target="#data!A1"/><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25.png"/><Relationship Id="rId26" Type="http://schemas.openxmlformats.org/officeDocument/2006/relationships/image" Target="../media/image32.png"/><Relationship Id="rId21" Type="http://schemas.openxmlformats.org/officeDocument/2006/relationships/image" Target="../media/image28.png"/><Relationship Id="rId34" Type="http://schemas.openxmlformats.org/officeDocument/2006/relationships/chart" Target="../charts/chart6.xml"/><Relationship Id="rId7" Type="http://schemas.openxmlformats.org/officeDocument/2006/relationships/image" Target="../media/image8.png"/><Relationship Id="rId12" Type="http://schemas.openxmlformats.org/officeDocument/2006/relationships/hyperlink" Target="#'Data Source'!A1"/><Relationship Id="rId17" Type="http://schemas.openxmlformats.org/officeDocument/2006/relationships/image" Target="../media/image24.png"/><Relationship Id="rId25" Type="http://schemas.openxmlformats.org/officeDocument/2006/relationships/image" Target="../media/image31.png"/><Relationship Id="rId33" Type="http://schemas.openxmlformats.org/officeDocument/2006/relationships/chart" Target="../charts/chart5.xml"/><Relationship Id="rId38" Type="http://schemas.openxmlformats.org/officeDocument/2006/relationships/image" Target="../media/image42.png"/><Relationship Id="rId2" Type="http://schemas.openxmlformats.org/officeDocument/2006/relationships/image" Target="../media/image4.png"/><Relationship Id="rId16" Type="http://schemas.openxmlformats.org/officeDocument/2006/relationships/image" Target="../media/image23.png"/><Relationship Id="rId20" Type="http://schemas.openxmlformats.org/officeDocument/2006/relationships/image" Target="../media/image27.png"/><Relationship Id="rId29" Type="http://schemas.openxmlformats.org/officeDocument/2006/relationships/chart" Target="../charts/chart3.xml"/><Relationship Id="rId1" Type="http://schemas.openxmlformats.org/officeDocument/2006/relationships/hyperlink" Target="#'intro page'!A1"/><Relationship Id="rId6" Type="http://schemas.openxmlformats.org/officeDocument/2006/relationships/image" Target="../media/image7.svg"/><Relationship Id="rId11" Type="http://schemas.openxmlformats.org/officeDocument/2006/relationships/image" Target="../media/image16.svg"/><Relationship Id="rId24" Type="http://schemas.openxmlformats.org/officeDocument/2006/relationships/image" Target="../media/image30.png"/><Relationship Id="rId32" Type="http://schemas.openxmlformats.org/officeDocument/2006/relationships/image" Target="../media/image38.png"/><Relationship Id="rId37"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chart" Target="../charts/chart1.xml"/><Relationship Id="rId23" Type="http://schemas.microsoft.com/office/2007/relationships/hdphoto" Target="../media/hdphoto1.wdp"/><Relationship Id="rId28" Type="http://schemas.openxmlformats.org/officeDocument/2006/relationships/image" Target="../media/image34.png"/><Relationship Id="rId36" Type="http://schemas.openxmlformats.org/officeDocument/2006/relationships/image" Target="../media/image40.png"/><Relationship Id="rId10" Type="http://schemas.openxmlformats.org/officeDocument/2006/relationships/image" Target="../media/image15.png"/><Relationship Id="rId19" Type="http://schemas.openxmlformats.org/officeDocument/2006/relationships/image" Target="../media/image26.png"/><Relationship Id="rId31" Type="http://schemas.openxmlformats.org/officeDocument/2006/relationships/image" Target="../media/image37.png"/><Relationship Id="rId4" Type="http://schemas.openxmlformats.org/officeDocument/2006/relationships/image" Target="../media/image2.png"/><Relationship Id="rId9" Type="http://schemas.openxmlformats.org/officeDocument/2006/relationships/hyperlink" Target="#'ask-question'!A1"/><Relationship Id="rId14" Type="http://schemas.openxmlformats.org/officeDocument/2006/relationships/image" Target="../media/image11.svg"/><Relationship Id="rId22" Type="http://schemas.openxmlformats.org/officeDocument/2006/relationships/image" Target="../media/image29.png"/><Relationship Id="rId27" Type="http://schemas.openxmlformats.org/officeDocument/2006/relationships/chart" Target="../charts/chart2.xml"/><Relationship Id="rId30" Type="http://schemas.openxmlformats.org/officeDocument/2006/relationships/chart" Target="../charts/chart4.xml"/><Relationship Id="rId35" Type="http://schemas.openxmlformats.org/officeDocument/2006/relationships/image" Target="../media/image39.png"/><Relationship Id="rId8" Type="http://schemas.openxmlformats.org/officeDocument/2006/relationships/image" Target="../media/image9.svg"/><Relationship Id="rId3" Type="http://schemas.openxmlformats.org/officeDocument/2006/relationships/image" Target="../media/image5.svg"/></Relationships>
</file>

<file path=xl/drawings/_rels/drawing6.xml.rels><?xml version="1.0" encoding="UTF-8" standalone="yes"?>
<Relationships xmlns="http://schemas.openxmlformats.org/package/2006/relationships"><Relationship Id="rId1" Type="http://schemas.openxmlformats.org/officeDocument/2006/relationships/image" Target="../media/image33.png"/></Relationships>
</file>

<file path=xl/drawings/_rels/drawing7.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5.png"/></Relationships>
</file>

<file path=xl/drawings/drawing1.xml><?xml version="1.0" encoding="utf-8"?>
<xdr:wsDr xmlns:xdr="http://schemas.openxmlformats.org/drawingml/2006/spreadsheetDrawing" xmlns:a="http://schemas.openxmlformats.org/drawingml/2006/main">
  <xdr:twoCellAnchor>
    <xdr:from>
      <xdr:col>0</xdr:col>
      <xdr:colOff>403860</xdr:colOff>
      <xdr:row>1</xdr:row>
      <xdr:rowOff>51435</xdr:rowOff>
    </xdr:from>
    <xdr:to>
      <xdr:col>23</xdr:col>
      <xdr:colOff>358140</xdr:colOff>
      <xdr:row>41</xdr:row>
      <xdr:rowOff>60960</xdr:rowOff>
    </xdr:to>
    <xdr:sp macro="" textlink="">
      <xdr:nvSpPr>
        <xdr:cNvPr id="9" name="Rectangle: Rounded Corners 8">
          <a:extLst>
            <a:ext uri="{FF2B5EF4-FFF2-40B4-BE49-F238E27FC236}">
              <a16:creationId xmlns:a16="http://schemas.microsoft.com/office/drawing/2014/main" id="{E15F07FA-B0E7-4D50-811F-8CDCD7225CE6}"/>
            </a:ext>
          </a:extLst>
        </xdr:cNvPr>
        <xdr:cNvSpPr/>
      </xdr:nvSpPr>
      <xdr:spPr>
        <a:xfrm>
          <a:off x="403860" y="234315"/>
          <a:ext cx="13975080" cy="7324725"/>
        </a:xfrm>
        <a:prstGeom prst="roundRect">
          <a:avLst>
            <a:gd name="adj" fmla="val 7813"/>
          </a:avLst>
        </a:prstGeom>
        <a:gradFill flip="none" rotWithShape="1">
          <a:gsLst>
            <a:gs pos="0">
              <a:srgbClr val="10123B"/>
            </a:gs>
            <a:gs pos="75000">
              <a:srgbClr val="10123B"/>
            </a:gs>
          </a:gsLst>
          <a:lin ang="8100000" scaled="1"/>
          <a:tileRect/>
        </a:gradFill>
        <a:ln w="9525">
          <a:gradFill flip="none" rotWithShape="1">
            <a:gsLst>
              <a:gs pos="0">
                <a:schemeClr val="accent1">
                  <a:lumMod val="5000"/>
                  <a:lumOff val="95000"/>
                </a:schemeClr>
              </a:gs>
              <a:gs pos="7400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114300</xdr:colOff>
      <xdr:row>3</xdr:row>
      <xdr:rowOff>5715</xdr:rowOff>
    </xdr:from>
    <xdr:to>
      <xdr:col>23</xdr:col>
      <xdr:colOff>30328</xdr:colOff>
      <xdr:row>39</xdr:row>
      <xdr:rowOff>105846</xdr:rowOff>
    </xdr:to>
    <xdr:sp macro="" textlink="">
      <xdr:nvSpPr>
        <xdr:cNvPr id="10" name="Rectangle: Rounded Corners 9">
          <a:extLst>
            <a:ext uri="{FF2B5EF4-FFF2-40B4-BE49-F238E27FC236}">
              <a16:creationId xmlns:a16="http://schemas.microsoft.com/office/drawing/2014/main" id="{EA552016-B77E-43EB-980C-4B3AEAFF0B4B}"/>
            </a:ext>
          </a:extLst>
        </xdr:cNvPr>
        <xdr:cNvSpPr/>
      </xdr:nvSpPr>
      <xdr:spPr>
        <a:xfrm>
          <a:off x="723900" y="554355"/>
          <a:ext cx="13327228" cy="6683811"/>
        </a:xfrm>
        <a:prstGeom prst="roundRect">
          <a:avLst>
            <a:gd name="adj" fmla="val 3309"/>
          </a:avLst>
        </a:prstGeom>
        <a:gradFill flip="none" rotWithShape="1">
          <a:gsLst>
            <a:gs pos="0">
              <a:srgbClr val="20245A"/>
            </a:gs>
            <a:gs pos="75000">
              <a:srgbClr val="10123B"/>
            </a:gs>
          </a:gsLst>
          <a:lin ang="8100000" scaled="1"/>
          <a:tileRect/>
        </a:gradFill>
        <a:ln w="9525">
          <a:gradFill flip="none" rotWithShape="1">
            <a:gsLst>
              <a:gs pos="0">
                <a:srgbClr val="B9C1FF"/>
              </a:gs>
              <a:gs pos="33000">
                <a:srgbClr val="3D4098"/>
              </a:gs>
              <a:gs pos="100000">
                <a:srgbClr val="333787"/>
              </a:gs>
            </a:gsLst>
            <a:lin ang="9000000" scaled="0"/>
            <a:tileRect/>
          </a:gradFill>
        </a:ln>
        <a:effectLst>
          <a:outerShdw blurRad="444500" dist="1016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304800</xdr:colOff>
      <xdr:row>1</xdr:row>
      <xdr:rowOff>81915</xdr:rowOff>
    </xdr:from>
    <xdr:to>
      <xdr:col>16</xdr:col>
      <xdr:colOff>0</xdr:colOff>
      <xdr:row>29</xdr:row>
      <xdr:rowOff>140970</xdr:rowOff>
    </xdr:to>
    <xdr:pic>
      <xdr:nvPicPr>
        <xdr:cNvPr id="25" name="Picture 24">
          <a:extLst>
            <a:ext uri="{FF2B5EF4-FFF2-40B4-BE49-F238E27FC236}">
              <a16:creationId xmlns:a16="http://schemas.microsoft.com/office/drawing/2014/main" id="{2E43021E-54B5-5114-FF60-5E80A73B6F9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000" y="264795"/>
          <a:ext cx="5181600" cy="5179695"/>
        </a:xfrm>
        <a:prstGeom prst="rect">
          <a:avLst/>
        </a:prstGeom>
        <a:effectLst>
          <a:outerShdw blurRad="76200" dist="12700" dir="2700000" sy="-23000" kx="-800400" algn="bl" rotWithShape="0">
            <a:prstClr val="black">
              <a:alpha val="20000"/>
            </a:prstClr>
          </a:outerShdw>
        </a:effectLst>
      </xdr:spPr>
    </xdr:pic>
    <xdr:clientData/>
  </xdr:twoCellAnchor>
  <xdr:twoCellAnchor>
    <xdr:from>
      <xdr:col>17</xdr:col>
      <xdr:colOff>563880</xdr:colOff>
      <xdr:row>27</xdr:row>
      <xdr:rowOff>43815</xdr:rowOff>
    </xdr:from>
    <xdr:to>
      <xdr:col>22</xdr:col>
      <xdr:colOff>7620</xdr:colOff>
      <xdr:row>31</xdr:row>
      <xdr:rowOff>156210</xdr:rowOff>
    </xdr:to>
    <xdr:sp macro="[0]!Go_To_Dashboard_Animated" textlink="">
      <xdr:nvSpPr>
        <xdr:cNvPr id="27" name="Rectangle: Rounded Corners 26">
          <a:hlinkClick xmlns:r="http://schemas.openxmlformats.org/officeDocument/2006/relationships" r:id="rId2"/>
          <a:extLst>
            <a:ext uri="{FF2B5EF4-FFF2-40B4-BE49-F238E27FC236}">
              <a16:creationId xmlns:a16="http://schemas.microsoft.com/office/drawing/2014/main" id="{5A4508B5-EB61-4F95-98DD-B3B27CF0EC00}"/>
            </a:ext>
          </a:extLst>
        </xdr:cNvPr>
        <xdr:cNvSpPr/>
      </xdr:nvSpPr>
      <xdr:spPr>
        <a:xfrm>
          <a:off x="10927080" y="4981575"/>
          <a:ext cx="2491740" cy="843915"/>
        </a:xfrm>
        <a:prstGeom prst="roundRect">
          <a:avLst>
            <a:gd name="adj" fmla="val 10378"/>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Overview</a:t>
          </a:r>
          <a:endParaRPr lang="en-US" sz="1000"/>
        </a:p>
      </xdr:txBody>
    </xdr:sp>
    <xdr:clientData/>
  </xdr:twoCellAnchor>
  <xdr:twoCellAnchor>
    <xdr:from>
      <xdr:col>1</xdr:col>
      <xdr:colOff>342900</xdr:colOff>
      <xdr:row>3</xdr:row>
      <xdr:rowOff>160020</xdr:rowOff>
    </xdr:from>
    <xdr:to>
      <xdr:col>4</xdr:col>
      <xdr:colOff>22860</xdr:colOff>
      <xdr:row>8</xdr:row>
      <xdr:rowOff>38100</xdr:rowOff>
    </xdr:to>
    <xdr:grpSp>
      <xdr:nvGrpSpPr>
        <xdr:cNvPr id="13" name="Group 12">
          <a:extLst>
            <a:ext uri="{FF2B5EF4-FFF2-40B4-BE49-F238E27FC236}">
              <a16:creationId xmlns:a16="http://schemas.microsoft.com/office/drawing/2014/main" id="{7B6D0EC4-8F8D-C571-4C59-B83C2D7E81F3}"/>
            </a:ext>
          </a:extLst>
        </xdr:cNvPr>
        <xdr:cNvGrpSpPr/>
      </xdr:nvGrpSpPr>
      <xdr:grpSpPr>
        <a:xfrm>
          <a:off x="952500" y="708660"/>
          <a:ext cx="1508760" cy="792480"/>
          <a:chOff x="952500" y="708660"/>
          <a:chExt cx="1508760" cy="792480"/>
        </a:xfrm>
      </xdr:grpSpPr>
      <xdr:pic>
        <xdr:nvPicPr>
          <xdr:cNvPr id="4" name="Picture 3">
            <a:extLst>
              <a:ext uri="{FF2B5EF4-FFF2-40B4-BE49-F238E27FC236}">
                <a16:creationId xmlns:a16="http://schemas.microsoft.com/office/drawing/2014/main" id="{1C2A37FD-585A-4B97-A64B-11CE19C36717}"/>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2756" r="21777" b="52356"/>
          <a:stretch/>
        </xdr:blipFill>
        <xdr:spPr>
          <a:xfrm>
            <a:off x="952500" y="708660"/>
            <a:ext cx="662940" cy="655320"/>
          </a:xfrm>
          <a:prstGeom prst="rect">
            <a:avLst/>
          </a:prstGeom>
        </xdr:spPr>
      </xdr:pic>
      <xdr:sp macro="" textlink="">
        <xdr:nvSpPr>
          <xdr:cNvPr id="2" name="TextBox 1">
            <a:extLst>
              <a:ext uri="{FF2B5EF4-FFF2-40B4-BE49-F238E27FC236}">
                <a16:creationId xmlns:a16="http://schemas.microsoft.com/office/drawing/2014/main" id="{89D4578D-193F-4FB6-808A-7FB7FB6878B1}"/>
              </a:ext>
            </a:extLst>
          </xdr:cNvPr>
          <xdr:cNvSpPr txBox="1"/>
        </xdr:nvSpPr>
        <xdr:spPr>
          <a:xfrm>
            <a:off x="1661160" y="876300"/>
            <a:ext cx="800100" cy="624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tx2">
                    <a:lumMod val="25000"/>
                    <a:lumOff val="75000"/>
                  </a:schemeClr>
                </a:solidFill>
              </a:rPr>
              <a:t>MISUO</a:t>
            </a:r>
          </a:p>
          <a:p>
            <a:r>
              <a:rPr lang="ar-EG" sz="1600">
                <a:solidFill>
                  <a:schemeClr val="tx2">
                    <a:lumMod val="25000"/>
                    <a:lumOff val="75000"/>
                  </a:schemeClr>
                </a:solidFill>
              </a:rPr>
              <a:t>مسيو</a:t>
            </a:r>
            <a:endParaRPr lang="en-US" sz="1600">
              <a:solidFill>
                <a:schemeClr val="tx2">
                  <a:lumMod val="25000"/>
                  <a:lumOff val="75000"/>
                </a:schemeClr>
              </a:solidFill>
            </a:endParaRPr>
          </a:p>
        </xdr:txBody>
      </xdr:sp>
      <xdr:cxnSp macro="">
        <xdr:nvCxnSpPr>
          <xdr:cNvPr id="5" name="Straight Connector 4">
            <a:extLst>
              <a:ext uri="{FF2B5EF4-FFF2-40B4-BE49-F238E27FC236}">
                <a16:creationId xmlns:a16="http://schemas.microsoft.com/office/drawing/2014/main" id="{1EACA653-9FB8-4990-851C-C7840F73AE4B}"/>
              </a:ext>
            </a:extLst>
          </xdr:cNvPr>
          <xdr:cNvCxnSpPr/>
        </xdr:nvCxnSpPr>
        <xdr:spPr>
          <a:xfrm>
            <a:off x="1630680" y="937260"/>
            <a:ext cx="0" cy="457200"/>
          </a:xfrm>
          <a:prstGeom prst="line">
            <a:avLst/>
          </a:prstGeom>
          <a:ln w="12700">
            <a:solidFill>
              <a:schemeClr val="tx2">
                <a:lumMod val="25000"/>
                <a:lumOff val="75000"/>
              </a:schemeClr>
            </a:solidFill>
          </a:ln>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76200</xdr:colOff>
      <xdr:row>0</xdr:row>
      <xdr:rowOff>152400</xdr:rowOff>
    </xdr:from>
    <xdr:to>
      <xdr:col>19</xdr:col>
      <xdr:colOff>266700</xdr:colOff>
      <xdr:row>3</xdr:row>
      <xdr:rowOff>91440</xdr:rowOff>
    </xdr:to>
    <xdr:sp macro="" textlink="">
      <xdr:nvSpPr>
        <xdr:cNvPr id="4" name="Rectangle: Rounded Corners 3">
          <a:extLst>
            <a:ext uri="{FF2B5EF4-FFF2-40B4-BE49-F238E27FC236}">
              <a16:creationId xmlns:a16="http://schemas.microsoft.com/office/drawing/2014/main" id="{99D98A64-77C1-4BD7-A887-06A67D22EFAA}"/>
            </a:ext>
          </a:extLst>
        </xdr:cNvPr>
        <xdr:cNvSpPr/>
      </xdr:nvSpPr>
      <xdr:spPr>
        <a:xfrm>
          <a:off x="1516380" y="152400"/>
          <a:ext cx="19080480" cy="716280"/>
        </a:xfrm>
        <a:prstGeom prst="roundRect">
          <a:avLst/>
        </a:prstGeom>
        <a:gradFill>
          <a:gsLst>
            <a:gs pos="0">
              <a:srgbClr val="323687"/>
            </a:gs>
            <a:gs pos="100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4000"/>
            <a:t>Ask</a:t>
          </a:r>
          <a:r>
            <a:rPr lang="en-US" sz="4000" baseline="0"/>
            <a:t> questions (Kpi)</a:t>
          </a:r>
          <a:endParaRPr lang="en-US" sz="4000"/>
        </a:p>
      </xdr:txBody>
    </xdr:sp>
    <xdr:clientData/>
  </xdr:twoCellAnchor>
  <xdr:twoCellAnchor editAs="oneCell">
    <xdr:from>
      <xdr:col>13</xdr:col>
      <xdr:colOff>91441</xdr:colOff>
      <xdr:row>1</xdr:row>
      <xdr:rowOff>1</xdr:rowOff>
    </xdr:from>
    <xdr:to>
      <xdr:col>13</xdr:col>
      <xdr:colOff>678180</xdr:colOff>
      <xdr:row>2</xdr:row>
      <xdr:rowOff>289560</xdr:rowOff>
    </xdr:to>
    <xdr:pic>
      <xdr:nvPicPr>
        <xdr:cNvPr id="6" name="Picture 5">
          <a:extLst>
            <a:ext uri="{FF2B5EF4-FFF2-40B4-BE49-F238E27FC236}">
              <a16:creationId xmlns:a16="http://schemas.microsoft.com/office/drawing/2014/main" id="{4703ECC0-DC4A-32BA-6D4D-E86C5054F6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99721" y="182881"/>
          <a:ext cx="586739" cy="586739"/>
        </a:xfrm>
        <a:prstGeom prst="rect">
          <a:avLst/>
        </a:prstGeom>
      </xdr:spPr>
    </xdr:pic>
    <xdr:clientData/>
  </xdr:twoCellAnchor>
  <xdr:twoCellAnchor>
    <xdr:from>
      <xdr:col>1</xdr:col>
      <xdr:colOff>327660</xdr:colOff>
      <xdr:row>7</xdr:row>
      <xdr:rowOff>76199</xdr:rowOff>
    </xdr:from>
    <xdr:to>
      <xdr:col>3</xdr:col>
      <xdr:colOff>205740</xdr:colOff>
      <xdr:row>9</xdr:row>
      <xdr:rowOff>144780</xdr:rowOff>
    </xdr:to>
    <xdr:sp macro="" textlink="">
      <xdr:nvSpPr>
        <xdr:cNvPr id="21" name="Rectangle: Rounded Corners 20">
          <a:extLst>
            <a:ext uri="{FF2B5EF4-FFF2-40B4-BE49-F238E27FC236}">
              <a16:creationId xmlns:a16="http://schemas.microsoft.com/office/drawing/2014/main" id="{ECFDB5B1-2B8D-452C-9745-69CB86DD60F2}"/>
            </a:ext>
          </a:extLst>
        </xdr:cNvPr>
        <xdr:cNvSpPr/>
      </xdr:nvSpPr>
      <xdr:spPr>
        <a:xfrm>
          <a:off x="1394460" y="1699259"/>
          <a:ext cx="163068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Sum</a:t>
          </a:r>
          <a:r>
            <a:rPr lang="en-US" sz="1400" baseline="0">
              <a:solidFill>
                <a:schemeClr val="lt1"/>
              </a:solidFill>
              <a:effectLst/>
              <a:latin typeface="+mn-lt"/>
              <a:ea typeface="+mn-ea"/>
              <a:cs typeface="+mn-cs"/>
            </a:rPr>
            <a:t> Of Sales</a:t>
          </a:r>
          <a:endParaRPr lang="en-US" sz="1400">
            <a:effectLst/>
          </a:endParaRPr>
        </a:p>
        <a:p>
          <a:pPr algn="l"/>
          <a:endParaRPr lang="en-US" sz="1100"/>
        </a:p>
      </xdr:txBody>
    </xdr:sp>
    <xdr:clientData/>
  </xdr:twoCellAnchor>
  <xdr:twoCellAnchor>
    <xdr:from>
      <xdr:col>5</xdr:col>
      <xdr:colOff>883920</xdr:colOff>
      <xdr:row>7</xdr:row>
      <xdr:rowOff>15239</xdr:rowOff>
    </xdr:from>
    <xdr:to>
      <xdr:col>7</xdr:col>
      <xdr:colOff>548640</xdr:colOff>
      <xdr:row>9</xdr:row>
      <xdr:rowOff>83820</xdr:rowOff>
    </xdr:to>
    <xdr:sp macro="" textlink="">
      <xdr:nvSpPr>
        <xdr:cNvPr id="22" name="Rectangle: Rounded Corners 21">
          <a:extLst>
            <a:ext uri="{FF2B5EF4-FFF2-40B4-BE49-F238E27FC236}">
              <a16:creationId xmlns:a16="http://schemas.microsoft.com/office/drawing/2014/main" id="{CCA4645A-1790-A395-3AC5-A00F7F313FB5}"/>
            </a:ext>
          </a:extLst>
        </xdr:cNvPr>
        <xdr:cNvSpPr/>
      </xdr:nvSpPr>
      <xdr:spPr>
        <a:xfrm>
          <a:off x="6088380" y="1638299"/>
          <a:ext cx="149352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aseline="0">
              <a:solidFill>
                <a:schemeClr val="lt1"/>
              </a:solidFill>
              <a:effectLst/>
              <a:latin typeface="+mn-lt"/>
              <a:ea typeface="+mn-ea"/>
              <a:cs typeface="+mn-cs"/>
            </a:rPr>
            <a:t>Count Of Orders</a:t>
          </a:r>
          <a:endParaRPr lang="en-US" sz="1400">
            <a:effectLst/>
          </a:endParaRPr>
        </a:p>
        <a:p>
          <a:pPr algn="l"/>
          <a:endParaRPr lang="en-US" sz="1100"/>
        </a:p>
      </xdr:txBody>
    </xdr:sp>
    <xdr:clientData/>
  </xdr:twoCellAnchor>
  <xdr:twoCellAnchor>
    <xdr:from>
      <xdr:col>9</xdr:col>
      <xdr:colOff>937260</xdr:colOff>
      <xdr:row>7</xdr:row>
      <xdr:rowOff>38099</xdr:rowOff>
    </xdr:from>
    <xdr:to>
      <xdr:col>11</xdr:col>
      <xdr:colOff>60960</xdr:colOff>
      <xdr:row>9</xdr:row>
      <xdr:rowOff>106680</xdr:rowOff>
    </xdr:to>
    <xdr:sp macro="" textlink="">
      <xdr:nvSpPr>
        <xdr:cNvPr id="23" name="Rectangle: Rounded Corners 22">
          <a:extLst>
            <a:ext uri="{FF2B5EF4-FFF2-40B4-BE49-F238E27FC236}">
              <a16:creationId xmlns:a16="http://schemas.microsoft.com/office/drawing/2014/main" id="{ABAD7981-553C-C7FF-C189-6DE76778BDFB}"/>
            </a:ext>
          </a:extLst>
        </xdr:cNvPr>
        <xdr:cNvSpPr/>
      </xdr:nvSpPr>
      <xdr:spPr>
        <a:xfrm>
          <a:off x="10713720" y="1661159"/>
          <a:ext cx="166116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aseline="0">
              <a:solidFill>
                <a:schemeClr val="lt1"/>
              </a:solidFill>
              <a:effectLst/>
              <a:latin typeface="+mn-lt"/>
              <a:ea typeface="+mn-ea"/>
              <a:cs typeface="+mn-cs"/>
            </a:rPr>
            <a:t>Avg Of Sales</a:t>
          </a:r>
          <a:endParaRPr lang="en-US" sz="1400">
            <a:effectLst/>
          </a:endParaRPr>
        </a:p>
        <a:p>
          <a:pPr algn="l"/>
          <a:endParaRPr lang="en-US" sz="1100"/>
        </a:p>
      </xdr:txBody>
    </xdr:sp>
    <xdr:clientData/>
  </xdr:twoCellAnchor>
  <xdr:twoCellAnchor>
    <xdr:from>
      <xdr:col>4</xdr:col>
      <xdr:colOff>373380</xdr:colOff>
      <xdr:row>3</xdr:row>
      <xdr:rowOff>114300</xdr:rowOff>
    </xdr:from>
    <xdr:to>
      <xdr:col>4</xdr:col>
      <xdr:colOff>1043940</xdr:colOff>
      <xdr:row>41</xdr:row>
      <xdr:rowOff>60960</xdr:rowOff>
    </xdr:to>
    <xdr:sp macro="" textlink="">
      <xdr:nvSpPr>
        <xdr:cNvPr id="28" name="Rectangle: Rounded Corners 27">
          <a:extLst>
            <a:ext uri="{FF2B5EF4-FFF2-40B4-BE49-F238E27FC236}">
              <a16:creationId xmlns:a16="http://schemas.microsoft.com/office/drawing/2014/main" id="{59FA1702-B471-4B2D-AC73-A2B0096614A0}"/>
            </a:ext>
          </a:extLst>
        </xdr:cNvPr>
        <xdr:cNvSpPr/>
      </xdr:nvSpPr>
      <xdr:spPr>
        <a:xfrm>
          <a:off x="4038600" y="891540"/>
          <a:ext cx="670560" cy="701040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205740</xdr:colOff>
      <xdr:row>17</xdr:row>
      <xdr:rowOff>7619</xdr:rowOff>
    </xdr:from>
    <xdr:to>
      <xdr:col>3</xdr:col>
      <xdr:colOff>1036320</xdr:colOff>
      <xdr:row>19</xdr:row>
      <xdr:rowOff>76200</xdr:rowOff>
    </xdr:to>
    <xdr:sp macro="" textlink="">
      <xdr:nvSpPr>
        <xdr:cNvPr id="29" name="Rectangle: Rounded Corners 28">
          <a:extLst>
            <a:ext uri="{FF2B5EF4-FFF2-40B4-BE49-F238E27FC236}">
              <a16:creationId xmlns:a16="http://schemas.microsoft.com/office/drawing/2014/main" id="{60EBB2BB-D698-0E5C-F9E4-112AE012DBD0}"/>
            </a:ext>
          </a:extLst>
        </xdr:cNvPr>
        <xdr:cNvSpPr/>
      </xdr:nvSpPr>
      <xdr:spPr>
        <a:xfrm>
          <a:off x="1501140" y="3459479"/>
          <a:ext cx="183642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Category By Sales</a:t>
          </a:r>
          <a:endParaRPr lang="en-US" sz="1400">
            <a:effectLst/>
          </a:endParaRPr>
        </a:p>
        <a:p>
          <a:pPr algn="l"/>
          <a:endParaRPr lang="en-US" sz="1100"/>
        </a:p>
      </xdr:txBody>
    </xdr:sp>
    <xdr:clientData/>
  </xdr:twoCellAnchor>
  <xdr:twoCellAnchor>
    <xdr:from>
      <xdr:col>6</xdr:col>
      <xdr:colOff>213360</xdr:colOff>
      <xdr:row>17</xdr:row>
      <xdr:rowOff>144779</xdr:rowOff>
    </xdr:from>
    <xdr:to>
      <xdr:col>7</xdr:col>
      <xdr:colOff>792480</xdr:colOff>
      <xdr:row>20</xdr:row>
      <xdr:rowOff>30480</xdr:rowOff>
    </xdr:to>
    <xdr:sp macro="" textlink="">
      <xdr:nvSpPr>
        <xdr:cNvPr id="30" name="Rectangle: Rounded Corners 29">
          <a:extLst>
            <a:ext uri="{FF2B5EF4-FFF2-40B4-BE49-F238E27FC236}">
              <a16:creationId xmlns:a16="http://schemas.microsoft.com/office/drawing/2014/main" id="{C41E5104-87F9-5BA6-2955-1C6CFE5649C5}"/>
            </a:ext>
          </a:extLst>
        </xdr:cNvPr>
        <xdr:cNvSpPr/>
      </xdr:nvSpPr>
      <xdr:spPr>
        <a:xfrm>
          <a:off x="6088380" y="3596639"/>
          <a:ext cx="211074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Color By Sales</a:t>
          </a:r>
          <a:endParaRPr lang="en-US" sz="1400">
            <a:effectLst/>
          </a:endParaRPr>
        </a:p>
        <a:p>
          <a:pPr algn="l"/>
          <a:endParaRPr lang="en-US" sz="1100"/>
        </a:p>
      </xdr:txBody>
    </xdr:sp>
    <xdr:clientData/>
  </xdr:twoCellAnchor>
  <xdr:twoCellAnchor>
    <xdr:from>
      <xdr:col>13</xdr:col>
      <xdr:colOff>457200</xdr:colOff>
      <xdr:row>7</xdr:row>
      <xdr:rowOff>15239</xdr:rowOff>
    </xdr:from>
    <xdr:to>
      <xdr:col>14</xdr:col>
      <xdr:colOff>937260</xdr:colOff>
      <xdr:row>9</xdr:row>
      <xdr:rowOff>83820</xdr:rowOff>
    </xdr:to>
    <xdr:sp macro="" textlink="">
      <xdr:nvSpPr>
        <xdr:cNvPr id="31" name="Rectangle: Rounded Corners 30">
          <a:extLst>
            <a:ext uri="{FF2B5EF4-FFF2-40B4-BE49-F238E27FC236}">
              <a16:creationId xmlns:a16="http://schemas.microsoft.com/office/drawing/2014/main" id="{43CBE6C5-DD7C-11F3-81ED-9C0219D80F55}"/>
            </a:ext>
          </a:extLst>
        </xdr:cNvPr>
        <xdr:cNvSpPr/>
      </xdr:nvSpPr>
      <xdr:spPr>
        <a:xfrm>
          <a:off x="15156180" y="1638299"/>
          <a:ext cx="173736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aseline="0">
              <a:solidFill>
                <a:schemeClr val="lt1"/>
              </a:solidFill>
              <a:effectLst/>
              <a:latin typeface="+mn-lt"/>
              <a:ea typeface="+mn-ea"/>
              <a:cs typeface="+mn-cs"/>
            </a:rPr>
            <a:t>% Of Status</a:t>
          </a:r>
          <a:endParaRPr lang="en-US" sz="1400">
            <a:effectLst/>
          </a:endParaRPr>
        </a:p>
        <a:p>
          <a:pPr algn="l"/>
          <a:endParaRPr lang="en-US" sz="1100"/>
        </a:p>
      </xdr:txBody>
    </xdr:sp>
    <xdr:clientData/>
  </xdr:twoCellAnchor>
  <xdr:twoCellAnchor>
    <xdr:from>
      <xdr:col>8</xdr:col>
      <xdr:colOff>335280</xdr:colOff>
      <xdr:row>3</xdr:row>
      <xdr:rowOff>106680</xdr:rowOff>
    </xdr:from>
    <xdr:to>
      <xdr:col>8</xdr:col>
      <xdr:colOff>822960</xdr:colOff>
      <xdr:row>41</xdr:row>
      <xdr:rowOff>60960</xdr:rowOff>
    </xdr:to>
    <xdr:sp macro="" textlink="">
      <xdr:nvSpPr>
        <xdr:cNvPr id="32" name="Rectangle: Rounded Corners 31">
          <a:extLst>
            <a:ext uri="{FF2B5EF4-FFF2-40B4-BE49-F238E27FC236}">
              <a16:creationId xmlns:a16="http://schemas.microsoft.com/office/drawing/2014/main" id="{A6E6D894-9D47-496D-7C23-A67A56756331}"/>
            </a:ext>
          </a:extLst>
        </xdr:cNvPr>
        <xdr:cNvSpPr/>
      </xdr:nvSpPr>
      <xdr:spPr>
        <a:xfrm>
          <a:off x="9014460" y="883920"/>
          <a:ext cx="487680" cy="701802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411480</xdr:colOff>
      <xdr:row>16</xdr:row>
      <xdr:rowOff>182879</xdr:rowOff>
    </xdr:from>
    <xdr:to>
      <xdr:col>10</xdr:col>
      <xdr:colOff>1013460</xdr:colOff>
      <xdr:row>19</xdr:row>
      <xdr:rowOff>68580</xdr:rowOff>
    </xdr:to>
    <xdr:sp macro="" textlink="">
      <xdr:nvSpPr>
        <xdr:cNvPr id="35" name="Rectangle: Rounded Corners 34">
          <a:extLst>
            <a:ext uri="{FF2B5EF4-FFF2-40B4-BE49-F238E27FC236}">
              <a16:creationId xmlns:a16="http://schemas.microsoft.com/office/drawing/2014/main" id="{E625D7B6-1EE8-60CB-A07B-BB3E591BBED2}"/>
            </a:ext>
          </a:extLst>
        </xdr:cNvPr>
        <xdr:cNvSpPr/>
      </xdr:nvSpPr>
      <xdr:spPr>
        <a:xfrm>
          <a:off x="10187940" y="3451859"/>
          <a:ext cx="172212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City By Sales</a:t>
          </a:r>
          <a:endParaRPr lang="en-US" sz="1400">
            <a:effectLst/>
          </a:endParaRPr>
        </a:p>
        <a:p>
          <a:pPr algn="l"/>
          <a:endParaRPr lang="en-US" sz="1100"/>
        </a:p>
      </xdr:txBody>
    </xdr:sp>
    <xdr:clientData/>
  </xdr:twoCellAnchor>
  <xdr:twoCellAnchor>
    <xdr:from>
      <xdr:col>12</xdr:col>
      <xdr:colOff>990600</xdr:colOff>
      <xdr:row>19</xdr:row>
      <xdr:rowOff>175259</xdr:rowOff>
    </xdr:from>
    <xdr:to>
      <xdr:col>15</xdr:col>
      <xdr:colOff>60960</xdr:colOff>
      <xdr:row>22</xdr:row>
      <xdr:rowOff>106680</xdr:rowOff>
    </xdr:to>
    <xdr:sp macro="" textlink="">
      <xdr:nvSpPr>
        <xdr:cNvPr id="37" name="Rectangle: Rounded Corners 36">
          <a:extLst>
            <a:ext uri="{FF2B5EF4-FFF2-40B4-BE49-F238E27FC236}">
              <a16:creationId xmlns:a16="http://schemas.microsoft.com/office/drawing/2014/main" id="{9171A7EC-2037-B5CE-6066-E45C509D50D8}"/>
            </a:ext>
          </a:extLst>
        </xdr:cNvPr>
        <xdr:cNvSpPr/>
      </xdr:nvSpPr>
      <xdr:spPr>
        <a:xfrm>
          <a:off x="14592300" y="3992879"/>
          <a:ext cx="2697480" cy="48006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Count</a:t>
          </a:r>
          <a:r>
            <a:rPr lang="en-US" sz="1400" baseline="0">
              <a:solidFill>
                <a:schemeClr val="lt1"/>
              </a:solidFill>
              <a:effectLst/>
              <a:latin typeface="+mn-lt"/>
              <a:ea typeface="+mn-ea"/>
              <a:cs typeface="+mn-cs"/>
            </a:rPr>
            <a:t> Of Category</a:t>
          </a:r>
          <a:r>
            <a:rPr lang="en-US" sz="1400">
              <a:solidFill>
                <a:schemeClr val="lt1"/>
              </a:solidFill>
              <a:effectLst/>
              <a:latin typeface="+mn-lt"/>
              <a:ea typeface="+mn-ea"/>
              <a:cs typeface="+mn-cs"/>
            </a:rPr>
            <a:t> By Platform</a:t>
          </a:r>
          <a:endParaRPr lang="en-US" sz="1400">
            <a:effectLst/>
          </a:endParaRPr>
        </a:p>
        <a:p>
          <a:pPr algn="l"/>
          <a:endParaRPr lang="en-US" sz="1100"/>
        </a:p>
      </xdr:txBody>
    </xdr:sp>
    <xdr:clientData/>
  </xdr:twoCellAnchor>
  <xdr:twoCellAnchor>
    <xdr:from>
      <xdr:col>0</xdr:col>
      <xdr:colOff>99060</xdr:colOff>
      <xdr:row>41</xdr:row>
      <xdr:rowOff>175852</xdr:rowOff>
    </xdr:from>
    <xdr:to>
      <xdr:col>18</xdr:col>
      <xdr:colOff>236220</xdr:colOff>
      <xdr:row>44</xdr:row>
      <xdr:rowOff>114892</xdr:rowOff>
    </xdr:to>
    <xdr:sp macro="" textlink="">
      <xdr:nvSpPr>
        <xdr:cNvPr id="38" name="Rectangle: Rounded Corners 37">
          <a:extLst>
            <a:ext uri="{FF2B5EF4-FFF2-40B4-BE49-F238E27FC236}">
              <a16:creationId xmlns:a16="http://schemas.microsoft.com/office/drawing/2014/main" id="{B180A646-17D5-6777-639B-3861F44DBA15}"/>
            </a:ext>
          </a:extLst>
        </xdr:cNvPr>
        <xdr:cNvSpPr/>
      </xdr:nvSpPr>
      <xdr:spPr>
        <a:xfrm rot="5400000">
          <a:off x="9898380" y="-1782488"/>
          <a:ext cx="487680" cy="2008632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137160</xdr:colOff>
      <xdr:row>29</xdr:row>
      <xdr:rowOff>182879</xdr:rowOff>
    </xdr:from>
    <xdr:to>
      <xdr:col>4</xdr:col>
      <xdr:colOff>213360</xdr:colOff>
      <xdr:row>32</xdr:row>
      <xdr:rowOff>68580</xdr:rowOff>
    </xdr:to>
    <xdr:sp macro="" textlink="">
      <xdr:nvSpPr>
        <xdr:cNvPr id="39" name="Rectangle: Rounded Corners 38">
          <a:extLst>
            <a:ext uri="{FF2B5EF4-FFF2-40B4-BE49-F238E27FC236}">
              <a16:creationId xmlns:a16="http://schemas.microsoft.com/office/drawing/2014/main" id="{AD8CBF61-899F-FA16-D533-5FEE789A1BAD}"/>
            </a:ext>
          </a:extLst>
        </xdr:cNvPr>
        <xdr:cNvSpPr/>
      </xdr:nvSpPr>
      <xdr:spPr>
        <a:xfrm>
          <a:off x="1203960" y="5829299"/>
          <a:ext cx="2636520" cy="434341"/>
        </a:xfrm>
        <a:prstGeom prst="roundRect">
          <a:avLst>
            <a:gd name="adj" fmla="val 29696"/>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lt1"/>
              </a:solidFill>
              <a:effectLst/>
              <a:latin typeface="+mn-lt"/>
              <a:ea typeface="+mn-ea"/>
              <a:cs typeface="+mn-cs"/>
            </a:rPr>
            <a:t>Count Of  Client</a:t>
          </a:r>
          <a:r>
            <a:rPr lang="en-US" sz="1400" baseline="0">
              <a:solidFill>
                <a:schemeClr val="lt1"/>
              </a:solidFill>
              <a:effectLst/>
              <a:latin typeface="+mn-lt"/>
              <a:ea typeface="+mn-ea"/>
              <a:cs typeface="+mn-cs"/>
            </a:rPr>
            <a:t> And company</a:t>
          </a:r>
          <a:endParaRPr lang="en-US" sz="1400">
            <a:effectLst/>
          </a:endParaRPr>
        </a:p>
        <a:p>
          <a:pPr algn="l"/>
          <a:endParaRPr lang="en-US" sz="1100"/>
        </a:p>
      </xdr:txBody>
    </xdr:sp>
    <xdr:clientData/>
  </xdr:twoCellAnchor>
  <xdr:twoCellAnchor>
    <xdr:from>
      <xdr:col>0</xdr:col>
      <xdr:colOff>0</xdr:colOff>
      <xdr:row>3</xdr:row>
      <xdr:rowOff>243840</xdr:rowOff>
    </xdr:from>
    <xdr:to>
      <xdr:col>1</xdr:col>
      <xdr:colOff>7620</xdr:colOff>
      <xdr:row>41</xdr:row>
      <xdr:rowOff>114300</xdr:rowOff>
    </xdr:to>
    <xdr:sp macro="" textlink="">
      <xdr:nvSpPr>
        <xdr:cNvPr id="2" name="Rectangle: Rounded Corners 1">
          <a:extLst>
            <a:ext uri="{FF2B5EF4-FFF2-40B4-BE49-F238E27FC236}">
              <a16:creationId xmlns:a16="http://schemas.microsoft.com/office/drawing/2014/main" id="{BF3BCE35-98EF-4F6E-A299-D22647608FC8}"/>
            </a:ext>
          </a:extLst>
        </xdr:cNvPr>
        <xdr:cNvSpPr/>
      </xdr:nvSpPr>
      <xdr:spPr>
        <a:xfrm>
          <a:off x="0" y="1021080"/>
          <a:ext cx="1074420" cy="693420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235010</xdr:colOff>
      <xdr:row>4</xdr:row>
      <xdr:rowOff>24038</xdr:rowOff>
    </xdr:from>
    <xdr:to>
      <xdr:col>0</xdr:col>
      <xdr:colOff>958910</xdr:colOff>
      <xdr:row>8</xdr:row>
      <xdr:rowOff>168818</xdr:rowOff>
    </xdr:to>
    <xdr:grpSp>
      <xdr:nvGrpSpPr>
        <xdr:cNvPr id="52" name="Group 51">
          <a:hlinkClick xmlns:r="http://schemas.openxmlformats.org/officeDocument/2006/relationships" r:id="rId2"/>
          <a:extLst>
            <a:ext uri="{FF2B5EF4-FFF2-40B4-BE49-F238E27FC236}">
              <a16:creationId xmlns:a16="http://schemas.microsoft.com/office/drawing/2014/main" id="{EE45C147-5EF8-5838-B7AC-20247911C696}"/>
            </a:ext>
          </a:extLst>
        </xdr:cNvPr>
        <xdr:cNvGrpSpPr/>
      </xdr:nvGrpSpPr>
      <xdr:grpSpPr>
        <a:xfrm>
          <a:off x="235010" y="1098458"/>
          <a:ext cx="723900" cy="876300"/>
          <a:chOff x="235010" y="1098458"/>
          <a:chExt cx="723900" cy="876300"/>
        </a:xfrm>
      </xdr:grpSpPr>
      <xdr:pic>
        <xdr:nvPicPr>
          <xdr:cNvPr id="5" name="Graphic 4" descr="Home with solid fill">
            <a:extLst>
              <a:ext uri="{FF2B5EF4-FFF2-40B4-BE49-F238E27FC236}">
                <a16:creationId xmlns:a16="http://schemas.microsoft.com/office/drawing/2014/main" id="{AA6C0A92-558C-7777-0ED4-9ACEA5A195D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18830" y="1098458"/>
            <a:ext cx="457200" cy="457200"/>
          </a:xfrm>
          <a:prstGeom prst="rect">
            <a:avLst/>
          </a:prstGeom>
          <a:effectLst>
            <a:glow rad="127000">
              <a:srgbClr val="090EE9">
                <a:alpha val="42745"/>
              </a:srgbClr>
            </a:glow>
          </a:effectLst>
        </xdr:spPr>
      </xdr:pic>
      <xdr:sp macro="" textlink="">
        <xdr:nvSpPr>
          <xdr:cNvPr id="12" name="TextBox 11">
            <a:extLst>
              <a:ext uri="{FF2B5EF4-FFF2-40B4-BE49-F238E27FC236}">
                <a16:creationId xmlns:a16="http://schemas.microsoft.com/office/drawing/2014/main" id="{B2F35E3A-1C9C-0A44-D339-541C8E0DD851}"/>
              </a:ext>
            </a:extLst>
          </xdr:cNvPr>
          <xdr:cNvSpPr txBox="1"/>
        </xdr:nvSpPr>
        <xdr:spPr>
          <a:xfrm>
            <a:off x="235010" y="1593758"/>
            <a:ext cx="7239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Home</a:t>
            </a:r>
          </a:p>
        </xdr:txBody>
      </xdr:sp>
    </xdr:grpSp>
    <xdr:clientData/>
  </xdr:twoCellAnchor>
  <xdr:twoCellAnchor>
    <xdr:from>
      <xdr:col>0</xdr:col>
      <xdr:colOff>74990</xdr:colOff>
      <xdr:row>28</xdr:row>
      <xdr:rowOff>24038</xdr:rowOff>
    </xdr:from>
    <xdr:to>
      <xdr:col>1</xdr:col>
      <xdr:colOff>74990</xdr:colOff>
      <xdr:row>32</xdr:row>
      <xdr:rowOff>107858</xdr:rowOff>
    </xdr:to>
    <xdr:grpSp>
      <xdr:nvGrpSpPr>
        <xdr:cNvPr id="13" name="Group 12">
          <a:extLst>
            <a:ext uri="{FF2B5EF4-FFF2-40B4-BE49-F238E27FC236}">
              <a16:creationId xmlns:a16="http://schemas.microsoft.com/office/drawing/2014/main" id="{1443FF10-886B-42D9-890E-63B92FA9C7AA}"/>
            </a:ext>
          </a:extLst>
        </xdr:cNvPr>
        <xdr:cNvGrpSpPr/>
      </xdr:nvGrpSpPr>
      <xdr:grpSpPr>
        <a:xfrm>
          <a:off x="74990" y="5487578"/>
          <a:ext cx="1066800" cy="815340"/>
          <a:chOff x="1181100" y="6057900"/>
          <a:chExt cx="1089660" cy="815340"/>
        </a:xfrm>
      </xdr:grpSpPr>
      <xdr:sp macro="[0]!Swtchprg" textlink="">
        <xdr:nvSpPr>
          <xdr:cNvPr id="14" name="TextBox 13">
            <a:extLst>
              <a:ext uri="{FF2B5EF4-FFF2-40B4-BE49-F238E27FC236}">
                <a16:creationId xmlns:a16="http://schemas.microsoft.com/office/drawing/2014/main" id="{55E572D1-8CD8-ABA9-B779-0AE0237BA9A8}"/>
              </a:ext>
            </a:extLst>
          </xdr:cNvPr>
          <xdr:cNvSpPr txBox="1"/>
        </xdr:nvSpPr>
        <xdr:spPr>
          <a:xfrm>
            <a:off x="1181100" y="6492240"/>
            <a:ext cx="10896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Full Screen</a:t>
            </a:r>
          </a:p>
        </xdr:txBody>
      </xdr:sp>
      <xdr:pic macro="[0]!Swtchprg">
        <xdr:nvPicPr>
          <xdr:cNvPr id="15" name="Graphic 14" descr="Monitor with solid fill">
            <a:extLst>
              <a:ext uri="{FF2B5EF4-FFF2-40B4-BE49-F238E27FC236}">
                <a16:creationId xmlns:a16="http://schemas.microsoft.com/office/drawing/2014/main" id="{A754D247-EF1A-BFC4-A23E-CB17EEDCE5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32560" y="6057900"/>
            <a:ext cx="457200" cy="457200"/>
          </a:xfrm>
          <a:prstGeom prst="rect">
            <a:avLst/>
          </a:prstGeom>
          <a:effectLst>
            <a:glow rad="127000">
              <a:srgbClr val="090EE9">
                <a:alpha val="42745"/>
              </a:srgbClr>
            </a:glow>
          </a:effectLst>
        </xdr:spPr>
      </xdr:pic>
    </xdr:grpSp>
    <xdr:clientData/>
  </xdr:twoCellAnchor>
  <xdr:twoCellAnchor>
    <xdr:from>
      <xdr:col>0</xdr:col>
      <xdr:colOff>166430</xdr:colOff>
      <xdr:row>21</xdr:row>
      <xdr:rowOff>176438</xdr:rowOff>
    </xdr:from>
    <xdr:to>
      <xdr:col>0</xdr:col>
      <xdr:colOff>1019870</xdr:colOff>
      <xdr:row>26</xdr:row>
      <xdr:rowOff>123098</xdr:rowOff>
    </xdr:to>
    <xdr:grpSp>
      <xdr:nvGrpSpPr>
        <xdr:cNvPr id="16" name="Group 15">
          <a:extLst>
            <a:ext uri="{FF2B5EF4-FFF2-40B4-BE49-F238E27FC236}">
              <a16:creationId xmlns:a16="http://schemas.microsoft.com/office/drawing/2014/main" id="{9FEBA464-9BC1-45EE-9BE3-C52FA2A62217}"/>
            </a:ext>
          </a:extLst>
        </xdr:cNvPr>
        <xdr:cNvGrpSpPr/>
      </xdr:nvGrpSpPr>
      <xdr:grpSpPr>
        <a:xfrm>
          <a:off x="166430" y="4359818"/>
          <a:ext cx="853440" cy="861060"/>
          <a:chOff x="1280160" y="4846320"/>
          <a:chExt cx="853440" cy="861060"/>
        </a:xfrm>
      </xdr:grpSpPr>
      <xdr:pic macro="[0]!Refresh_All">
        <xdr:nvPicPr>
          <xdr:cNvPr id="17" name="Graphic 16" descr="Arrow circle with solid fill">
            <a:extLst>
              <a:ext uri="{FF2B5EF4-FFF2-40B4-BE49-F238E27FC236}">
                <a16:creationId xmlns:a16="http://schemas.microsoft.com/office/drawing/2014/main" id="{8BE92C41-0B6A-AC2C-8A4A-E56C100844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9700" y="4846320"/>
            <a:ext cx="457200" cy="457200"/>
          </a:xfrm>
          <a:prstGeom prst="rect">
            <a:avLst/>
          </a:prstGeom>
          <a:effectLst>
            <a:glow rad="127000">
              <a:srgbClr val="090EE9">
                <a:alpha val="42745"/>
              </a:srgbClr>
            </a:glow>
          </a:effectLst>
        </xdr:spPr>
      </xdr:pic>
      <xdr:sp macro="[0]!Refresh_All" textlink="">
        <xdr:nvSpPr>
          <xdr:cNvPr id="18" name="TextBox 17">
            <a:extLst>
              <a:ext uri="{FF2B5EF4-FFF2-40B4-BE49-F238E27FC236}">
                <a16:creationId xmlns:a16="http://schemas.microsoft.com/office/drawing/2014/main" id="{DF9B69AF-6FF8-4E52-1194-F8007B53A81D}"/>
              </a:ext>
            </a:extLst>
          </xdr:cNvPr>
          <xdr:cNvSpPr txBox="1"/>
        </xdr:nvSpPr>
        <xdr:spPr>
          <a:xfrm>
            <a:off x="1280160" y="5326380"/>
            <a:ext cx="8534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Refresh</a:t>
            </a:r>
          </a:p>
        </xdr:txBody>
      </xdr:sp>
    </xdr:grpSp>
    <xdr:clientData/>
  </xdr:twoCellAnchor>
  <xdr:twoCellAnchor>
    <xdr:from>
      <xdr:col>0</xdr:col>
      <xdr:colOff>29270</xdr:colOff>
      <xdr:row>9</xdr:row>
      <xdr:rowOff>138338</xdr:rowOff>
    </xdr:from>
    <xdr:to>
      <xdr:col>1</xdr:col>
      <xdr:colOff>59750</xdr:colOff>
      <xdr:row>14</xdr:row>
      <xdr:rowOff>115478</xdr:rowOff>
    </xdr:to>
    <xdr:grpSp>
      <xdr:nvGrpSpPr>
        <xdr:cNvPr id="25" name="Group 24">
          <a:hlinkClick xmlns:r="http://schemas.openxmlformats.org/officeDocument/2006/relationships" r:id="rId9"/>
          <a:extLst>
            <a:ext uri="{FF2B5EF4-FFF2-40B4-BE49-F238E27FC236}">
              <a16:creationId xmlns:a16="http://schemas.microsoft.com/office/drawing/2014/main" id="{1C4C5A58-AA8E-4045-B3C5-E080B265B390}"/>
            </a:ext>
          </a:extLst>
        </xdr:cNvPr>
        <xdr:cNvGrpSpPr/>
      </xdr:nvGrpSpPr>
      <xdr:grpSpPr>
        <a:xfrm>
          <a:off x="29270" y="2127158"/>
          <a:ext cx="1097280" cy="891540"/>
          <a:chOff x="1112520" y="2781300"/>
          <a:chExt cx="1097280" cy="891540"/>
        </a:xfrm>
      </xdr:grpSpPr>
      <xdr:pic>
        <xdr:nvPicPr>
          <xdr:cNvPr id="26" name="Graphic 25" descr="Database with solid fill">
            <a:extLst>
              <a:ext uri="{FF2B5EF4-FFF2-40B4-BE49-F238E27FC236}">
                <a16:creationId xmlns:a16="http://schemas.microsoft.com/office/drawing/2014/main" id="{7734143D-82D4-021A-C2D0-D5E42FC026C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17320" y="2781300"/>
            <a:ext cx="457200" cy="457200"/>
          </a:xfrm>
          <a:prstGeom prst="rect">
            <a:avLst/>
          </a:prstGeom>
          <a:effectLst>
            <a:glow rad="127000">
              <a:srgbClr val="090EE9">
                <a:alpha val="42745"/>
              </a:srgbClr>
            </a:glow>
          </a:effectLst>
        </xdr:spPr>
      </xdr:pic>
      <xdr:sp macro="" textlink="">
        <xdr:nvSpPr>
          <xdr:cNvPr id="27" name="TextBox 26">
            <a:extLst>
              <a:ext uri="{FF2B5EF4-FFF2-40B4-BE49-F238E27FC236}">
                <a16:creationId xmlns:a16="http://schemas.microsoft.com/office/drawing/2014/main" id="{92A49C5F-9060-1721-A521-F39862CC3DFB}"/>
              </a:ext>
            </a:extLst>
          </xdr:cNvPr>
          <xdr:cNvSpPr txBox="1"/>
        </xdr:nvSpPr>
        <xdr:spPr>
          <a:xfrm>
            <a:off x="1112520" y="3291840"/>
            <a:ext cx="109728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Data Source</a:t>
            </a:r>
          </a:p>
        </xdr:txBody>
      </xdr:sp>
    </xdr:grpSp>
    <xdr:clientData/>
  </xdr:twoCellAnchor>
  <xdr:twoCellAnchor>
    <xdr:from>
      <xdr:col>0</xdr:col>
      <xdr:colOff>7620</xdr:colOff>
      <xdr:row>0</xdr:row>
      <xdr:rowOff>68580</xdr:rowOff>
    </xdr:from>
    <xdr:to>
      <xdr:col>1</xdr:col>
      <xdr:colOff>30480</xdr:colOff>
      <xdr:row>3</xdr:row>
      <xdr:rowOff>83820</xdr:rowOff>
    </xdr:to>
    <xdr:grpSp>
      <xdr:nvGrpSpPr>
        <xdr:cNvPr id="51" name="Group 50">
          <a:extLst>
            <a:ext uri="{FF2B5EF4-FFF2-40B4-BE49-F238E27FC236}">
              <a16:creationId xmlns:a16="http://schemas.microsoft.com/office/drawing/2014/main" id="{3D7C26FA-7D8D-316C-1D7E-4F095D7D7E0D}"/>
            </a:ext>
          </a:extLst>
        </xdr:cNvPr>
        <xdr:cNvGrpSpPr/>
      </xdr:nvGrpSpPr>
      <xdr:grpSpPr>
        <a:xfrm>
          <a:off x="7620" y="68580"/>
          <a:ext cx="1089660" cy="792480"/>
          <a:chOff x="7620" y="68580"/>
          <a:chExt cx="1089660" cy="792480"/>
        </a:xfrm>
      </xdr:grpSpPr>
      <xdr:pic>
        <xdr:nvPicPr>
          <xdr:cNvPr id="45" name="Picture 44">
            <a:extLst>
              <a:ext uri="{FF2B5EF4-FFF2-40B4-BE49-F238E27FC236}">
                <a16:creationId xmlns:a16="http://schemas.microsoft.com/office/drawing/2014/main" id="{B3BFB86C-ECA4-5979-7EC2-1184CCB0BBAF}"/>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22756" r="21777" b="52356"/>
          <a:stretch/>
        </xdr:blipFill>
        <xdr:spPr>
          <a:xfrm>
            <a:off x="7620" y="68580"/>
            <a:ext cx="478790" cy="655320"/>
          </a:xfrm>
          <a:prstGeom prst="rect">
            <a:avLst/>
          </a:prstGeom>
        </xdr:spPr>
      </xdr:pic>
      <xdr:sp macro="" textlink="">
        <xdr:nvSpPr>
          <xdr:cNvPr id="46" name="TextBox 45">
            <a:extLst>
              <a:ext uri="{FF2B5EF4-FFF2-40B4-BE49-F238E27FC236}">
                <a16:creationId xmlns:a16="http://schemas.microsoft.com/office/drawing/2014/main" id="{6B1A5FEE-4E45-217D-0B31-A0EF727FA430}"/>
              </a:ext>
            </a:extLst>
          </xdr:cNvPr>
          <xdr:cNvSpPr txBox="1"/>
        </xdr:nvSpPr>
        <xdr:spPr>
          <a:xfrm>
            <a:off x="519430" y="236220"/>
            <a:ext cx="577850" cy="624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2">
                    <a:lumMod val="25000"/>
                    <a:lumOff val="75000"/>
                  </a:schemeClr>
                </a:solidFill>
              </a:rPr>
              <a:t>MISUO</a:t>
            </a:r>
            <a:endParaRPr lang="en-US" sz="1400">
              <a:solidFill>
                <a:schemeClr val="tx2">
                  <a:lumMod val="25000"/>
                  <a:lumOff val="75000"/>
                </a:schemeClr>
              </a:solidFill>
            </a:endParaRPr>
          </a:p>
          <a:p>
            <a:r>
              <a:rPr lang="ar-EG" sz="1400">
                <a:solidFill>
                  <a:schemeClr val="tx2">
                    <a:lumMod val="25000"/>
                    <a:lumOff val="75000"/>
                  </a:schemeClr>
                </a:solidFill>
              </a:rPr>
              <a:t>مسيو</a:t>
            </a:r>
            <a:endParaRPr lang="en-US" sz="1600">
              <a:solidFill>
                <a:schemeClr val="tx2">
                  <a:lumMod val="25000"/>
                  <a:lumOff val="75000"/>
                </a:schemeClr>
              </a:solidFill>
            </a:endParaRPr>
          </a:p>
        </xdr:txBody>
      </xdr:sp>
      <xdr:cxnSp macro="">
        <xdr:nvCxnSpPr>
          <xdr:cNvPr id="47" name="Straight Connector 46">
            <a:extLst>
              <a:ext uri="{FF2B5EF4-FFF2-40B4-BE49-F238E27FC236}">
                <a16:creationId xmlns:a16="http://schemas.microsoft.com/office/drawing/2014/main" id="{E72D3041-A713-6769-CEAF-B6300397756A}"/>
              </a:ext>
            </a:extLst>
          </xdr:cNvPr>
          <xdr:cNvCxnSpPr/>
        </xdr:nvCxnSpPr>
        <xdr:spPr>
          <a:xfrm>
            <a:off x="497417" y="297180"/>
            <a:ext cx="0" cy="457200"/>
          </a:xfrm>
          <a:prstGeom prst="line">
            <a:avLst/>
          </a:prstGeom>
          <a:ln w="12700">
            <a:solidFill>
              <a:schemeClr val="tx2">
                <a:lumMod val="25000"/>
                <a:lumOff val="75000"/>
              </a:schemeClr>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0</xdr:col>
      <xdr:colOff>6410</xdr:colOff>
      <xdr:row>15</xdr:row>
      <xdr:rowOff>160020</xdr:rowOff>
    </xdr:from>
    <xdr:to>
      <xdr:col>1</xdr:col>
      <xdr:colOff>151190</xdr:colOff>
      <xdr:row>20</xdr:row>
      <xdr:rowOff>168818</xdr:rowOff>
    </xdr:to>
    <xdr:grpSp>
      <xdr:nvGrpSpPr>
        <xdr:cNvPr id="50" name="Group 49">
          <a:hlinkClick xmlns:r="http://schemas.openxmlformats.org/officeDocument/2006/relationships" r:id="rId13"/>
          <a:extLst>
            <a:ext uri="{FF2B5EF4-FFF2-40B4-BE49-F238E27FC236}">
              <a16:creationId xmlns:a16="http://schemas.microsoft.com/office/drawing/2014/main" id="{0E5CE841-5BED-B923-537B-994C7B3AC697}"/>
            </a:ext>
          </a:extLst>
        </xdr:cNvPr>
        <xdr:cNvGrpSpPr/>
      </xdr:nvGrpSpPr>
      <xdr:grpSpPr>
        <a:xfrm>
          <a:off x="6410" y="3246120"/>
          <a:ext cx="1211580" cy="923198"/>
          <a:chOff x="6410" y="3246120"/>
          <a:chExt cx="1211580" cy="923198"/>
        </a:xfrm>
      </xdr:grpSpPr>
      <xdr:sp macro="" textlink="">
        <xdr:nvSpPr>
          <xdr:cNvPr id="20" name="TextBox 19">
            <a:extLst>
              <a:ext uri="{FF2B5EF4-FFF2-40B4-BE49-F238E27FC236}">
                <a16:creationId xmlns:a16="http://schemas.microsoft.com/office/drawing/2014/main" id="{68CC58DD-A647-F25D-558C-D01E48439E69}"/>
              </a:ext>
            </a:extLst>
          </xdr:cNvPr>
          <xdr:cNvSpPr txBox="1"/>
        </xdr:nvSpPr>
        <xdr:spPr>
          <a:xfrm>
            <a:off x="6410" y="3788318"/>
            <a:ext cx="121158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Dashbourd</a:t>
            </a:r>
          </a:p>
        </xdr:txBody>
      </xdr:sp>
      <xdr:pic>
        <xdr:nvPicPr>
          <xdr:cNvPr id="49" name="Graphic 48" descr="Bar chart with solid fill">
            <a:extLst>
              <a:ext uri="{FF2B5EF4-FFF2-40B4-BE49-F238E27FC236}">
                <a16:creationId xmlns:a16="http://schemas.microsoft.com/office/drawing/2014/main" id="{69532E6E-D58F-85A4-F3E2-B934A9B9933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51460" y="3246120"/>
            <a:ext cx="457200" cy="457200"/>
          </a:xfrm>
          <a:prstGeom prst="rect">
            <a:avLst/>
          </a:prstGeom>
          <a:effectLst>
            <a:glow rad="127000">
              <a:srgbClr val="090EE9">
                <a:alpha val="42745"/>
              </a:srgbClr>
            </a:glow>
          </a:effectLst>
        </xdr:spPr>
      </xdr:pic>
    </xdr:grpSp>
    <xdr:clientData/>
  </xdr:twoCellAnchor>
  <xdr:twoCellAnchor>
    <xdr:from>
      <xdr:col>12</xdr:col>
      <xdr:colOff>91440</xdr:colOff>
      <xdr:row>3</xdr:row>
      <xdr:rowOff>121920</xdr:rowOff>
    </xdr:from>
    <xdr:to>
      <xdr:col>12</xdr:col>
      <xdr:colOff>579120</xdr:colOff>
      <xdr:row>41</xdr:row>
      <xdr:rowOff>76200</xdr:rowOff>
    </xdr:to>
    <xdr:sp macro="" textlink="">
      <xdr:nvSpPr>
        <xdr:cNvPr id="3" name="Rectangle: Rounded Corners 2">
          <a:extLst>
            <a:ext uri="{FF2B5EF4-FFF2-40B4-BE49-F238E27FC236}">
              <a16:creationId xmlns:a16="http://schemas.microsoft.com/office/drawing/2014/main" id="{24646754-5E2D-0356-164A-D2878726C521}"/>
            </a:ext>
          </a:extLst>
        </xdr:cNvPr>
        <xdr:cNvSpPr/>
      </xdr:nvSpPr>
      <xdr:spPr>
        <a:xfrm>
          <a:off x="12786360" y="899160"/>
          <a:ext cx="487680" cy="701802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205740</xdr:colOff>
      <xdr:row>3</xdr:row>
      <xdr:rowOff>137160</xdr:rowOff>
    </xdr:from>
    <xdr:to>
      <xdr:col>19</xdr:col>
      <xdr:colOff>312420</xdr:colOff>
      <xdr:row>43</xdr:row>
      <xdr:rowOff>76200</xdr:rowOff>
    </xdr:to>
    <xdr:sp macro="" textlink="">
      <xdr:nvSpPr>
        <xdr:cNvPr id="7" name="Rectangle: Rounded Corners 6">
          <a:extLst>
            <a:ext uri="{FF2B5EF4-FFF2-40B4-BE49-F238E27FC236}">
              <a16:creationId xmlns:a16="http://schemas.microsoft.com/office/drawing/2014/main" id="{8B7E4811-D597-6A10-A10A-F908CC54638F}"/>
            </a:ext>
          </a:extLst>
        </xdr:cNvPr>
        <xdr:cNvSpPr/>
      </xdr:nvSpPr>
      <xdr:spPr>
        <a:xfrm>
          <a:off x="20154900" y="914400"/>
          <a:ext cx="487680" cy="7368540"/>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1085182</xdr:colOff>
      <xdr:row>4</xdr:row>
      <xdr:rowOff>61029</xdr:rowOff>
    </xdr:to>
    <xdr:pic>
      <xdr:nvPicPr>
        <xdr:cNvPr id="6" name="Picture 5">
          <a:extLst>
            <a:ext uri="{FF2B5EF4-FFF2-40B4-BE49-F238E27FC236}">
              <a16:creationId xmlns:a16="http://schemas.microsoft.com/office/drawing/2014/main" id="{55F84BB8-6F4C-357B-FF52-238F32F18C6A}"/>
            </a:ext>
          </a:extLst>
        </xdr:cNvPr>
        <xdr:cNvPicPr>
          <a:picLocks noChangeAspect="1"/>
        </xdr:cNvPicPr>
      </xdr:nvPicPr>
      <xdr:blipFill>
        <a:blip xmlns:r="http://schemas.openxmlformats.org/officeDocument/2006/relationships" r:embed="rId1"/>
        <a:stretch>
          <a:fillRect/>
        </a:stretch>
      </xdr:blipFill>
      <xdr:spPr>
        <a:xfrm>
          <a:off x="0" y="0"/>
          <a:ext cx="1085182" cy="792549"/>
        </a:xfrm>
        <a:prstGeom prst="rect">
          <a:avLst/>
        </a:prstGeom>
      </xdr:spPr>
    </xdr:pic>
    <xdr:clientData/>
  </xdr:twoCellAnchor>
  <xdr:twoCellAnchor>
    <xdr:from>
      <xdr:col>0</xdr:col>
      <xdr:colOff>1</xdr:colOff>
      <xdr:row>4</xdr:row>
      <xdr:rowOff>60960</xdr:rowOff>
    </xdr:from>
    <xdr:to>
      <xdr:col>0</xdr:col>
      <xdr:colOff>1188721</xdr:colOff>
      <xdr:row>34</xdr:row>
      <xdr:rowOff>1178</xdr:rowOff>
    </xdr:to>
    <xdr:sp macro="" textlink="">
      <xdr:nvSpPr>
        <xdr:cNvPr id="8" name="Rectangle: Rounded Corners 7">
          <a:extLst>
            <a:ext uri="{FF2B5EF4-FFF2-40B4-BE49-F238E27FC236}">
              <a16:creationId xmlns:a16="http://schemas.microsoft.com/office/drawing/2014/main" id="{20763857-FC2F-47CF-B372-54D061E49C63}"/>
            </a:ext>
          </a:extLst>
        </xdr:cNvPr>
        <xdr:cNvSpPr/>
      </xdr:nvSpPr>
      <xdr:spPr>
        <a:xfrm>
          <a:off x="1" y="792480"/>
          <a:ext cx="1188720" cy="5426618"/>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273109</xdr:colOff>
      <xdr:row>4</xdr:row>
      <xdr:rowOff>145958</xdr:rowOff>
    </xdr:from>
    <xdr:to>
      <xdr:col>0</xdr:col>
      <xdr:colOff>1172937</xdr:colOff>
      <xdr:row>9</xdr:row>
      <xdr:rowOff>107858</xdr:rowOff>
    </xdr:to>
    <xdr:grpSp>
      <xdr:nvGrpSpPr>
        <xdr:cNvPr id="24" name="Group 23">
          <a:hlinkClick xmlns:r="http://schemas.openxmlformats.org/officeDocument/2006/relationships" r:id="rId2"/>
          <a:extLst>
            <a:ext uri="{FF2B5EF4-FFF2-40B4-BE49-F238E27FC236}">
              <a16:creationId xmlns:a16="http://schemas.microsoft.com/office/drawing/2014/main" id="{8354907F-7EF9-26EB-CB91-0AE7E35009D8}"/>
            </a:ext>
          </a:extLst>
        </xdr:cNvPr>
        <xdr:cNvGrpSpPr/>
      </xdr:nvGrpSpPr>
      <xdr:grpSpPr>
        <a:xfrm>
          <a:off x="273109" y="877478"/>
          <a:ext cx="899828" cy="876300"/>
          <a:chOff x="273109" y="877478"/>
          <a:chExt cx="899828" cy="876300"/>
        </a:xfrm>
      </xdr:grpSpPr>
      <xdr:pic>
        <xdr:nvPicPr>
          <xdr:cNvPr id="10" name="Graphic 9" descr="Home with solid fill">
            <a:extLst>
              <a:ext uri="{FF2B5EF4-FFF2-40B4-BE49-F238E27FC236}">
                <a16:creationId xmlns:a16="http://schemas.microsoft.com/office/drawing/2014/main" id="{A89B1195-5654-7E1D-1228-93B83C00203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08720" y="877478"/>
            <a:ext cx="568312" cy="457200"/>
          </a:xfrm>
          <a:prstGeom prst="rect">
            <a:avLst/>
          </a:prstGeom>
          <a:effectLst>
            <a:glow rad="127000">
              <a:srgbClr val="090EE9">
                <a:alpha val="42745"/>
              </a:srgbClr>
            </a:glow>
          </a:effectLst>
        </xdr:spPr>
      </xdr:pic>
      <xdr:sp macro="" textlink="">
        <xdr:nvSpPr>
          <xdr:cNvPr id="11" name="TextBox 10">
            <a:extLst>
              <a:ext uri="{FF2B5EF4-FFF2-40B4-BE49-F238E27FC236}">
                <a16:creationId xmlns:a16="http://schemas.microsoft.com/office/drawing/2014/main" id="{83F0278F-EF39-DF7D-9781-1E50FCFF1B9F}"/>
              </a:ext>
            </a:extLst>
          </xdr:cNvPr>
          <xdr:cNvSpPr txBox="1"/>
        </xdr:nvSpPr>
        <xdr:spPr>
          <a:xfrm>
            <a:off x="273109" y="1372778"/>
            <a:ext cx="89982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Home</a:t>
            </a:r>
          </a:p>
        </xdr:txBody>
      </xdr:sp>
    </xdr:grpSp>
    <xdr:clientData/>
  </xdr:twoCellAnchor>
  <xdr:twoCellAnchor>
    <xdr:from>
      <xdr:col>0</xdr:col>
      <xdr:colOff>67369</xdr:colOff>
      <xdr:row>28</xdr:row>
      <xdr:rowOff>145958</xdr:rowOff>
    </xdr:from>
    <xdr:to>
      <xdr:col>1</xdr:col>
      <xdr:colOff>97231</xdr:colOff>
      <xdr:row>33</xdr:row>
      <xdr:rowOff>46898</xdr:rowOff>
    </xdr:to>
    <xdr:grpSp>
      <xdr:nvGrpSpPr>
        <xdr:cNvPr id="28" name="Group 27">
          <a:extLst>
            <a:ext uri="{FF2B5EF4-FFF2-40B4-BE49-F238E27FC236}">
              <a16:creationId xmlns:a16="http://schemas.microsoft.com/office/drawing/2014/main" id="{123B78B9-97F9-6F9D-1828-AE06CE6A0DC8}"/>
            </a:ext>
          </a:extLst>
        </xdr:cNvPr>
        <xdr:cNvGrpSpPr/>
      </xdr:nvGrpSpPr>
      <xdr:grpSpPr>
        <a:xfrm>
          <a:off x="67369" y="5266598"/>
          <a:ext cx="1233822" cy="815340"/>
          <a:chOff x="67369" y="5266598"/>
          <a:chExt cx="1233822" cy="815340"/>
        </a:xfrm>
      </xdr:grpSpPr>
      <xdr:sp macro="[0]!Swtchprg" textlink="">
        <xdr:nvSpPr>
          <xdr:cNvPr id="13" name="TextBox 12">
            <a:extLst>
              <a:ext uri="{FF2B5EF4-FFF2-40B4-BE49-F238E27FC236}">
                <a16:creationId xmlns:a16="http://schemas.microsoft.com/office/drawing/2014/main" id="{0AE54BB7-2D73-24EB-FF78-2CBF2F0D8074}"/>
              </a:ext>
            </a:extLst>
          </xdr:cNvPr>
          <xdr:cNvSpPr txBox="1"/>
        </xdr:nvSpPr>
        <xdr:spPr>
          <a:xfrm>
            <a:off x="67369" y="5700938"/>
            <a:ext cx="1233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Full Screen</a:t>
            </a:r>
          </a:p>
        </xdr:txBody>
      </xdr:sp>
      <xdr:pic macro="[0]!Swtchprg">
        <xdr:nvPicPr>
          <xdr:cNvPr id="14" name="Graphic 13" descr="Monitor with solid fill">
            <a:extLst>
              <a:ext uri="{FF2B5EF4-FFF2-40B4-BE49-F238E27FC236}">
                <a16:creationId xmlns:a16="http://schemas.microsoft.com/office/drawing/2014/main" id="{2D2C4AA7-E9EF-CE23-E05B-90B1D4F36CD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98757" y="5266598"/>
            <a:ext cx="517688" cy="457200"/>
          </a:xfrm>
          <a:prstGeom prst="rect">
            <a:avLst/>
          </a:prstGeom>
          <a:effectLst>
            <a:glow rad="127000">
              <a:srgbClr val="090EE9">
                <a:alpha val="42745"/>
              </a:srgbClr>
            </a:glow>
          </a:effectLst>
        </xdr:spPr>
      </xdr:pic>
    </xdr:grpSp>
    <xdr:clientData/>
  </xdr:twoCellAnchor>
  <xdr:twoCellAnchor>
    <xdr:from>
      <xdr:col>0</xdr:col>
      <xdr:colOff>151189</xdr:colOff>
      <xdr:row>22</xdr:row>
      <xdr:rowOff>92618</xdr:rowOff>
    </xdr:from>
    <xdr:to>
      <xdr:col>0</xdr:col>
      <xdr:colOff>1168557</xdr:colOff>
      <xdr:row>27</xdr:row>
      <xdr:rowOff>16418</xdr:rowOff>
    </xdr:to>
    <xdr:grpSp>
      <xdr:nvGrpSpPr>
        <xdr:cNvPr id="27" name="Group 26">
          <a:extLst>
            <a:ext uri="{FF2B5EF4-FFF2-40B4-BE49-F238E27FC236}">
              <a16:creationId xmlns:a16="http://schemas.microsoft.com/office/drawing/2014/main" id="{9C4A1286-D97F-AC84-5CE8-C56450EE6280}"/>
            </a:ext>
          </a:extLst>
        </xdr:cNvPr>
        <xdr:cNvGrpSpPr/>
      </xdr:nvGrpSpPr>
      <xdr:grpSpPr>
        <a:xfrm>
          <a:off x="151189" y="4115978"/>
          <a:ext cx="1017368" cy="838200"/>
          <a:chOff x="151189" y="4115978"/>
          <a:chExt cx="1017368" cy="838200"/>
        </a:xfrm>
      </xdr:grpSpPr>
      <xdr:pic macro="[0]!Refresh_All">
        <xdr:nvPicPr>
          <xdr:cNvPr id="16" name="Graphic 15" descr="Arrow circle with solid fill">
            <a:extLst>
              <a:ext uri="{FF2B5EF4-FFF2-40B4-BE49-F238E27FC236}">
                <a16:creationId xmlns:a16="http://schemas.microsoft.com/office/drawing/2014/main" id="{EE2D4662-F069-5411-6295-9C688D03589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40384" y="4115978"/>
            <a:ext cx="545019" cy="457200"/>
          </a:xfrm>
          <a:prstGeom prst="rect">
            <a:avLst/>
          </a:prstGeom>
          <a:effectLst>
            <a:glow rad="127000">
              <a:srgbClr val="090EE9">
                <a:alpha val="42745"/>
              </a:srgbClr>
            </a:glow>
          </a:effectLst>
        </xdr:spPr>
      </xdr:pic>
      <xdr:sp macro="[0]!Refresh_All" textlink="">
        <xdr:nvSpPr>
          <xdr:cNvPr id="17" name="TextBox 16">
            <a:extLst>
              <a:ext uri="{FF2B5EF4-FFF2-40B4-BE49-F238E27FC236}">
                <a16:creationId xmlns:a16="http://schemas.microsoft.com/office/drawing/2014/main" id="{F13B38A4-1DBB-AABD-C93B-B6BB571C1DD2}"/>
              </a:ext>
            </a:extLst>
          </xdr:cNvPr>
          <xdr:cNvSpPr txBox="1"/>
        </xdr:nvSpPr>
        <xdr:spPr>
          <a:xfrm>
            <a:off x="151189" y="4573178"/>
            <a:ext cx="101736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Refresh</a:t>
            </a:r>
          </a:p>
        </xdr:txBody>
      </xdr:sp>
    </xdr:grpSp>
    <xdr:clientData/>
  </xdr:twoCellAnchor>
  <xdr:twoCellAnchor>
    <xdr:from>
      <xdr:col>0</xdr:col>
      <xdr:colOff>6409</xdr:colOff>
      <xdr:row>16</xdr:row>
      <xdr:rowOff>115478</xdr:rowOff>
    </xdr:from>
    <xdr:to>
      <xdr:col>1</xdr:col>
      <xdr:colOff>167639</xdr:colOff>
      <xdr:row>21</xdr:row>
      <xdr:rowOff>107858</xdr:rowOff>
    </xdr:to>
    <xdr:grpSp>
      <xdr:nvGrpSpPr>
        <xdr:cNvPr id="26" name="Group 25">
          <a:hlinkClick xmlns:r="http://schemas.openxmlformats.org/officeDocument/2006/relationships" r:id="rId9"/>
          <a:extLst>
            <a:ext uri="{FF2B5EF4-FFF2-40B4-BE49-F238E27FC236}">
              <a16:creationId xmlns:a16="http://schemas.microsoft.com/office/drawing/2014/main" id="{E3AA893D-9EAB-F954-E9A4-A024378D094E}"/>
            </a:ext>
          </a:extLst>
        </xdr:cNvPr>
        <xdr:cNvGrpSpPr/>
      </xdr:nvGrpSpPr>
      <xdr:grpSpPr>
        <a:xfrm>
          <a:off x="6409" y="3041558"/>
          <a:ext cx="1365190" cy="906780"/>
          <a:chOff x="6409" y="3041558"/>
          <a:chExt cx="1365190" cy="906780"/>
        </a:xfrm>
      </xdr:grpSpPr>
      <xdr:sp macro="" textlink="">
        <xdr:nvSpPr>
          <xdr:cNvPr id="19" name="TextBox 18">
            <a:extLst>
              <a:ext uri="{FF2B5EF4-FFF2-40B4-BE49-F238E27FC236}">
                <a16:creationId xmlns:a16="http://schemas.microsoft.com/office/drawing/2014/main" id="{20853A78-667F-0593-9FA6-CAF31EFD55EA}"/>
              </a:ext>
            </a:extLst>
          </xdr:cNvPr>
          <xdr:cNvSpPr txBox="1"/>
        </xdr:nvSpPr>
        <xdr:spPr>
          <a:xfrm>
            <a:off x="6409" y="3567338"/>
            <a:ext cx="136519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Ask Question</a:t>
            </a:r>
          </a:p>
        </xdr:txBody>
      </xdr:sp>
      <xdr:pic>
        <xdr:nvPicPr>
          <xdr:cNvPr id="20" name="Graphic 19" descr="Help with solid fill">
            <a:extLst>
              <a:ext uri="{FF2B5EF4-FFF2-40B4-BE49-F238E27FC236}">
                <a16:creationId xmlns:a16="http://schemas.microsoft.com/office/drawing/2014/main" id="{99490BA9-1A92-EBF0-A093-E9B47CDDE2F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7373" y="3041558"/>
            <a:ext cx="479014" cy="457200"/>
          </a:xfrm>
          <a:prstGeom prst="rect">
            <a:avLst/>
          </a:prstGeom>
          <a:effectLst>
            <a:glow rad="127000">
              <a:srgbClr val="090EE9">
                <a:alpha val="42745"/>
              </a:srgbClr>
            </a:glow>
          </a:effectLst>
        </xdr:spPr>
      </xdr:pic>
    </xdr:grpSp>
    <xdr:clientData/>
  </xdr:twoCellAnchor>
  <xdr:twoCellAnchor>
    <xdr:from>
      <xdr:col>0</xdr:col>
      <xdr:colOff>106679</xdr:colOff>
      <xdr:row>10</xdr:row>
      <xdr:rowOff>45720</xdr:rowOff>
    </xdr:from>
    <xdr:to>
      <xdr:col>1</xdr:col>
      <xdr:colOff>297179</xdr:colOff>
      <xdr:row>15</xdr:row>
      <xdr:rowOff>54518</xdr:rowOff>
    </xdr:to>
    <xdr:grpSp>
      <xdr:nvGrpSpPr>
        <xdr:cNvPr id="25" name="Group 24">
          <a:hlinkClick xmlns:r="http://schemas.openxmlformats.org/officeDocument/2006/relationships" r:id="rId12"/>
          <a:extLst>
            <a:ext uri="{FF2B5EF4-FFF2-40B4-BE49-F238E27FC236}">
              <a16:creationId xmlns:a16="http://schemas.microsoft.com/office/drawing/2014/main" id="{95C38B60-55CD-C92D-A53A-4D401E3F427D}"/>
            </a:ext>
          </a:extLst>
        </xdr:cNvPr>
        <xdr:cNvGrpSpPr/>
      </xdr:nvGrpSpPr>
      <xdr:grpSpPr>
        <a:xfrm>
          <a:off x="106679" y="1874520"/>
          <a:ext cx="1371600" cy="923198"/>
          <a:chOff x="106679" y="1874520"/>
          <a:chExt cx="1394460" cy="923198"/>
        </a:xfrm>
      </xdr:grpSpPr>
      <xdr:sp macro="" textlink="">
        <xdr:nvSpPr>
          <xdr:cNvPr id="22" name="TextBox 21">
            <a:extLst>
              <a:ext uri="{FF2B5EF4-FFF2-40B4-BE49-F238E27FC236}">
                <a16:creationId xmlns:a16="http://schemas.microsoft.com/office/drawing/2014/main" id="{ADB07F7C-BB3D-057C-00EE-8721B34BF53E}"/>
              </a:ext>
            </a:extLst>
          </xdr:cNvPr>
          <xdr:cNvSpPr txBox="1"/>
        </xdr:nvSpPr>
        <xdr:spPr>
          <a:xfrm>
            <a:off x="106679" y="2416718"/>
            <a:ext cx="1394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Dashbourd</a:t>
            </a:r>
          </a:p>
        </xdr:txBody>
      </xdr:sp>
      <xdr:pic>
        <xdr:nvPicPr>
          <xdr:cNvPr id="23" name="Graphic 22" descr="Bar chart with solid fill">
            <a:extLst>
              <a:ext uri="{FF2B5EF4-FFF2-40B4-BE49-F238E27FC236}">
                <a16:creationId xmlns:a16="http://schemas.microsoft.com/office/drawing/2014/main" id="{4D6B6BBF-80D6-3751-1AC6-49CC1A27D2D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2518" y="1874520"/>
            <a:ext cx="526211" cy="457200"/>
          </a:xfrm>
          <a:prstGeom prst="rect">
            <a:avLst/>
          </a:prstGeom>
          <a:effectLst>
            <a:glow rad="127000">
              <a:srgbClr val="090EE9">
                <a:alpha val="42745"/>
              </a:srgbClr>
            </a:glow>
          </a:effec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403860</xdr:colOff>
      <xdr:row>1</xdr:row>
      <xdr:rowOff>66675</xdr:rowOff>
    </xdr:from>
    <xdr:to>
      <xdr:col>23</xdr:col>
      <xdr:colOff>190500</xdr:colOff>
      <xdr:row>41</xdr:row>
      <xdr:rowOff>66675</xdr:rowOff>
    </xdr:to>
    <xdr:sp macro="" textlink="">
      <xdr:nvSpPr>
        <xdr:cNvPr id="2" name="Rectangle: Rounded Corners 1">
          <a:extLst>
            <a:ext uri="{FF2B5EF4-FFF2-40B4-BE49-F238E27FC236}">
              <a16:creationId xmlns:a16="http://schemas.microsoft.com/office/drawing/2014/main" id="{D96719B4-E65F-4278-8CA5-9A403A6F182A}"/>
            </a:ext>
          </a:extLst>
        </xdr:cNvPr>
        <xdr:cNvSpPr/>
      </xdr:nvSpPr>
      <xdr:spPr>
        <a:xfrm>
          <a:off x="403860" y="249555"/>
          <a:ext cx="13807440" cy="7315200"/>
        </a:xfrm>
        <a:prstGeom prst="roundRect">
          <a:avLst>
            <a:gd name="adj" fmla="val 7813"/>
          </a:avLst>
        </a:prstGeom>
        <a:solidFill>
          <a:schemeClr val="bg1"/>
        </a:solidFill>
        <a:ln w="9525">
          <a:gradFill flip="none" rotWithShape="1">
            <a:gsLst>
              <a:gs pos="0">
                <a:schemeClr val="accent1">
                  <a:lumMod val="5000"/>
                  <a:lumOff val="95000"/>
                </a:schemeClr>
              </a:gs>
              <a:gs pos="74000">
                <a:srgbClr val="4647A6"/>
              </a:gs>
              <a:gs pos="100000">
                <a:srgbClr val="333787"/>
              </a:gs>
            </a:gsLst>
            <a:lin ang="8100000" scaled="1"/>
            <a:tileRect/>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114300</xdr:colOff>
      <xdr:row>3</xdr:row>
      <xdr:rowOff>20955</xdr:rowOff>
    </xdr:from>
    <xdr:to>
      <xdr:col>22</xdr:col>
      <xdr:colOff>480060</xdr:colOff>
      <xdr:row>39</xdr:row>
      <xdr:rowOff>112395</xdr:rowOff>
    </xdr:to>
    <xdr:sp macro="" textlink="">
      <xdr:nvSpPr>
        <xdr:cNvPr id="3" name="Rectangle: Rounded Corners 2">
          <a:extLst>
            <a:ext uri="{FF2B5EF4-FFF2-40B4-BE49-F238E27FC236}">
              <a16:creationId xmlns:a16="http://schemas.microsoft.com/office/drawing/2014/main" id="{2F5090AC-D9FA-4725-AF33-00A430ECCE14}"/>
            </a:ext>
          </a:extLst>
        </xdr:cNvPr>
        <xdr:cNvSpPr/>
      </xdr:nvSpPr>
      <xdr:spPr>
        <a:xfrm>
          <a:off x="723900" y="569595"/>
          <a:ext cx="13167360" cy="6675120"/>
        </a:xfrm>
        <a:prstGeom prst="roundRect">
          <a:avLst>
            <a:gd name="adj" fmla="val 3309"/>
          </a:avLst>
        </a:prstGeom>
        <a:solidFill>
          <a:schemeClr val="bg1"/>
        </a:solidFill>
        <a:ln w="9525">
          <a:gradFill flip="none" rotWithShape="1">
            <a:gsLst>
              <a:gs pos="0">
                <a:srgbClr val="B9C1FF"/>
              </a:gs>
              <a:gs pos="33000">
                <a:srgbClr val="3D4098"/>
              </a:gs>
              <a:gs pos="100000">
                <a:srgbClr val="333787"/>
              </a:gs>
            </a:gsLst>
            <a:lin ang="9000000" scaled="0"/>
            <a:tileRect/>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466030</xdr:colOff>
      <xdr:row>9</xdr:row>
      <xdr:rowOff>90262</xdr:rowOff>
    </xdr:from>
    <xdr:to>
      <xdr:col>3</xdr:col>
      <xdr:colOff>526990</xdr:colOff>
      <xdr:row>38</xdr:row>
      <xdr:rowOff>162107</xdr:rowOff>
    </xdr:to>
    <xdr:sp macro="" textlink="">
      <xdr:nvSpPr>
        <xdr:cNvPr id="4" name="Rectangle: Rounded Corners 3">
          <a:extLst>
            <a:ext uri="{FF2B5EF4-FFF2-40B4-BE49-F238E27FC236}">
              <a16:creationId xmlns:a16="http://schemas.microsoft.com/office/drawing/2014/main" id="{A4173C17-9D9C-4EC2-9657-654A4C21F013}"/>
            </a:ext>
          </a:extLst>
        </xdr:cNvPr>
        <xdr:cNvSpPr/>
      </xdr:nvSpPr>
      <xdr:spPr>
        <a:xfrm>
          <a:off x="1075630" y="1736182"/>
          <a:ext cx="1280160" cy="5375365"/>
        </a:xfrm>
        <a:prstGeom prst="roundRect">
          <a:avLst>
            <a:gd name="adj" fmla="val 12415"/>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161230</xdr:colOff>
      <xdr:row>8</xdr:row>
      <xdr:rowOff>155575</xdr:rowOff>
    </xdr:from>
    <xdr:to>
      <xdr:col>13</xdr:col>
      <xdr:colOff>344110</xdr:colOff>
      <xdr:row>22</xdr:row>
      <xdr:rowOff>170815</xdr:rowOff>
    </xdr:to>
    <xdr:sp macro="" textlink="">
      <xdr:nvSpPr>
        <xdr:cNvPr id="6" name="Rectangle: Rounded Corners 5">
          <a:extLst>
            <a:ext uri="{FF2B5EF4-FFF2-40B4-BE49-F238E27FC236}">
              <a16:creationId xmlns:a16="http://schemas.microsoft.com/office/drawing/2014/main" id="{4D7E11B3-AFDB-4AD9-AAD8-80C05572C53A}"/>
            </a:ext>
          </a:extLst>
        </xdr:cNvPr>
        <xdr:cNvSpPr/>
      </xdr:nvSpPr>
      <xdr:spPr>
        <a:xfrm>
          <a:off x="2599630" y="1618615"/>
          <a:ext cx="5669280" cy="2575560"/>
        </a:xfrm>
        <a:prstGeom prst="roundRect">
          <a:avLst>
            <a:gd name="adj" fmla="val 8731"/>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13</xdr:col>
      <xdr:colOff>587950</xdr:colOff>
      <xdr:row>8</xdr:row>
      <xdr:rowOff>144690</xdr:rowOff>
    </xdr:from>
    <xdr:to>
      <xdr:col>17</xdr:col>
      <xdr:colOff>526990</xdr:colOff>
      <xdr:row>22</xdr:row>
      <xdr:rowOff>159930</xdr:rowOff>
    </xdr:to>
    <xdr:sp macro="" textlink="">
      <xdr:nvSpPr>
        <xdr:cNvPr id="7" name="Rectangle: Rounded Corners 6">
          <a:extLst>
            <a:ext uri="{FF2B5EF4-FFF2-40B4-BE49-F238E27FC236}">
              <a16:creationId xmlns:a16="http://schemas.microsoft.com/office/drawing/2014/main" id="{4C181145-7FA1-47B7-A7B8-A0940B56C188}"/>
            </a:ext>
          </a:extLst>
        </xdr:cNvPr>
        <xdr:cNvSpPr/>
      </xdr:nvSpPr>
      <xdr:spPr>
        <a:xfrm>
          <a:off x="8512750" y="1607730"/>
          <a:ext cx="2377440" cy="2575560"/>
        </a:xfrm>
        <a:prstGeom prst="roundRect">
          <a:avLst>
            <a:gd name="adj" fmla="val 10715"/>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18</xdr:col>
      <xdr:colOff>139459</xdr:colOff>
      <xdr:row>9</xdr:row>
      <xdr:rowOff>16240</xdr:rowOff>
    </xdr:from>
    <xdr:to>
      <xdr:col>22</xdr:col>
      <xdr:colOff>261379</xdr:colOff>
      <xdr:row>21</xdr:row>
      <xdr:rowOff>81554</xdr:rowOff>
    </xdr:to>
    <xdr:sp macro="" textlink="">
      <xdr:nvSpPr>
        <xdr:cNvPr id="8" name="Rectangle: Rounded Corners 7">
          <a:extLst>
            <a:ext uri="{FF2B5EF4-FFF2-40B4-BE49-F238E27FC236}">
              <a16:creationId xmlns:a16="http://schemas.microsoft.com/office/drawing/2014/main" id="{868F578A-75AC-4AEB-905E-4D40852FF8B6}"/>
            </a:ext>
          </a:extLst>
        </xdr:cNvPr>
        <xdr:cNvSpPr/>
      </xdr:nvSpPr>
      <xdr:spPr>
        <a:xfrm>
          <a:off x="11112259" y="1662160"/>
          <a:ext cx="2560320" cy="2259874"/>
        </a:xfrm>
        <a:prstGeom prst="roundRect">
          <a:avLst>
            <a:gd name="adj" fmla="val 10000"/>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4</xdr:col>
      <xdr:colOff>161230</xdr:colOff>
      <xdr:row>24</xdr:row>
      <xdr:rowOff>47807</xdr:rowOff>
    </xdr:from>
    <xdr:to>
      <xdr:col>8</xdr:col>
      <xdr:colOff>145990</xdr:colOff>
      <xdr:row>38</xdr:row>
      <xdr:rowOff>17327</xdr:rowOff>
    </xdr:to>
    <xdr:sp macro="" textlink="">
      <xdr:nvSpPr>
        <xdr:cNvPr id="9" name="Rectangle: Rounded Corners 8">
          <a:extLst>
            <a:ext uri="{FF2B5EF4-FFF2-40B4-BE49-F238E27FC236}">
              <a16:creationId xmlns:a16="http://schemas.microsoft.com/office/drawing/2014/main" id="{D1517229-4222-4030-A5E6-693471256DF8}"/>
            </a:ext>
          </a:extLst>
        </xdr:cNvPr>
        <xdr:cNvSpPr/>
      </xdr:nvSpPr>
      <xdr:spPr>
        <a:xfrm>
          <a:off x="2599630" y="4436927"/>
          <a:ext cx="2423160" cy="2529840"/>
        </a:xfrm>
        <a:prstGeom prst="roundRect">
          <a:avLst>
            <a:gd name="adj" fmla="val 10378"/>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13</xdr:col>
      <xdr:colOff>39310</xdr:colOff>
      <xdr:row>24</xdr:row>
      <xdr:rowOff>47807</xdr:rowOff>
    </xdr:from>
    <xdr:to>
      <xdr:col>17</xdr:col>
      <xdr:colOff>526990</xdr:colOff>
      <xdr:row>38</xdr:row>
      <xdr:rowOff>17327</xdr:rowOff>
    </xdr:to>
    <xdr:sp macro="" textlink="">
      <xdr:nvSpPr>
        <xdr:cNvPr id="10" name="Rectangle: Rounded Corners 9">
          <a:extLst>
            <a:ext uri="{FF2B5EF4-FFF2-40B4-BE49-F238E27FC236}">
              <a16:creationId xmlns:a16="http://schemas.microsoft.com/office/drawing/2014/main" id="{D8E9EB40-4AA7-46EE-952C-426ECF521DBE}"/>
            </a:ext>
          </a:extLst>
        </xdr:cNvPr>
        <xdr:cNvSpPr/>
      </xdr:nvSpPr>
      <xdr:spPr>
        <a:xfrm>
          <a:off x="7964110" y="4436927"/>
          <a:ext cx="2926080" cy="2529840"/>
        </a:xfrm>
        <a:prstGeom prst="roundRect">
          <a:avLst>
            <a:gd name="adj" fmla="val 8589"/>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18</xdr:col>
      <xdr:colOff>139459</xdr:colOff>
      <xdr:row>22</xdr:row>
      <xdr:rowOff>97882</xdr:rowOff>
    </xdr:from>
    <xdr:to>
      <xdr:col>22</xdr:col>
      <xdr:colOff>261379</xdr:colOff>
      <xdr:row>38</xdr:row>
      <xdr:rowOff>17327</xdr:rowOff>
    </xdr:to>
    <xdr:sp macro="" textlink="">
      <xdr:nvSpPr>
        <xdr:cNvPr id="11" name="Rectangle: Rounded Corners 10">
          <a:extLst>
            <a:ext uri="{FF2B5EF4-FFF2-40B4-BE49-F238E27FC236}">
              <a16:creationId xmlns:a16="http://schemas.microsoft.com/office/drawing/2014/main" id="{211CD26C-8579-4B56-8EE3-25F967586461}"/>
            </a:ext>
          </a:extLst>
        </xdr:cNvPr>
        <xdr:cNvSpPr/>
      </xdr:nvSpPr>
      <xdr:spPr>
        <a:xfrm>
          <a:off x="11112259" y="4121242"/>
          <a:ext cx="2560320" cy="2845525"/>
        </a:xfrm>
        <a:prstGeom prst="roundRect">
          <a:avLst>
            <a:gd name="adj" fmla="val 11565"/>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8</xdr:col>
      <xdr:colOff>389830</xdr:colOff>
      <xdr:row>24</xdr:row>
      <xdr:rowOff>26036</xdr:rowOff>
    </xdr:from>
    <xdr:to>
      <xdr:col>12</xdr:col>
      <xdr:colOff>374590</xdr:colOff>
      <xdr:row>37</xdr:row>
      <xdr:rowOff>176531</xdr:rowOff>
    </xdr:to>
    <xdr:sp macro="" textlink="">
      <xdr:nvSpPr>
        <xdr:cNvPr id="12" name="Rectangle: Rounded Corners 11">
          <a:extLst>
            <a:ext uri="{FF2B5EF4-FFF2-40B4-BE49-F238E27FC236}">
              <a16:creationId xmlns:a16="http://schemas.microsoft.com/office/drawing/2014/main" id="{1BA8C729-93BB-4AD5-A6B2-1903397FC916}"/>
            </a:ext>
          </a:extLst>
        </xdr:cNvPr>
        <xdr:cNvSpPr/>
      </xdr:nvSpPr>
      <xdr:spPr>
        <a:xfrm>
          <a:off x="5266630" y="4415156"/>
          <a:ext cx="2423160" cy="2527935"/>
        </a:xfrm>
        <a:prstGeom prst="roundRect">
          <a:avLst>
            <a:gd name="adj" fmla="val 10378"/>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2</xdr:col>
      <xdr:colOff>68580</xdr:colOff>
      <xdr:row>3</xdr:row>
      <xdr:rowOff>112396</xdr:rowOff>
    </xdr:from>
    <xdr:to>
      <xdr:col>3</xdr:col>
      <xdr:colOff>297180</xdr:colOff>
      <xdr:row>8</xdr:row>
      <xdr:rowOff>28576</xdr:rowOff>
    </xdr:to>
    <xdr:grpSp>
      <xdr:nvGrpSpPr>
        <xdr:cNvPr id="13" name="Group 12">
          <a:hlinkClick xmlns:r="http://schemas.openxmlformats.org/officeDocument/2006/relationships" r:id="rId1"/>
          <a:extLst>
            <a:ext uri="{FF2B5EF4-FFF2-40B4-BE49-F238E27FC236}">
              <a16:creationId xmlns:a16="http://schemas.microsoft.com/office/drawing/2014/main" id="{A53630CA-5090-4FF4-90B9-8E7E075C2741}"/>
            </a:ext>
          </a:extLst>
        </xdr:cNvPr>
        <xdr:cNvGrpSpPr/>
      </xdr:nvGrpSpPr>
      <xdr:grpSpPr>
        <a:xfrm>
          <a:off x="1287780" y="661036"/>
          <a:ext cx="838200" cy="830580"/>
          <a:chOff x="922020" y="784861"/>
          <a:chExt cx="2019300" cy="1988819"/>
        </a:xfrm>
        <a:effectLst>
          <a:outerShdw blurRad="50800" dist="50800" dir="5400000" algn="ctr" rotWithShape="0">
            <a:srgbClr val="B8C5D6">
              <a:alpha val="74902"/>
            </a:srgbClr>
          </a:outerShdw>
        </a:effectLst>
      </xdr:grpSpPr>
      <xdr:sp macro="" textlink="">
        <xdr:nvSpPr>
          <xdr:cNvPr id="14" name="Oval 13">
            <a:extLst>
              <a:ext uri="{FF2B5EF4-FFF2-40B4-BE49-F238E27FC236}">
                <a16:creationId xmlns:a16="http://schemas.microsoft.com/office/drawing/2014/main" id="{78218286-9754-C982-38F7-B947347588CD}"/>
              </a:ext>
            </a:extLst>
          </xdr:cNvPr>
          <xdr:cNvSpPr/>
        </xdr:nvSpPr>
        <xdr:spPr>
          <a:xfrm>
            <a:off x="922020" y="876300"/>
            <a:ext cx="2019300" cy="1897380"/>
          </a:xfrm>
          <a:prstGeom prst="ellipse">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5" name="Picture 14">
            <a:extLst>
              <a:ext uri="{FF2B5EF4-FFF2-40B4-BE49-F238E27FC236}">
                <a16:creationId xmlns:a16="http://schemas.microsoft.com/office/drawing/2014/main" id="{3C67B370-97B7-80BB-DCBD-90FC3C2D40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8221" y="784861"/>
            <a:ext cx="1882140" cy="1882140"/>
          </a:xfrm>
          <a:prstGeom prst="rect">
            <a:avLst/>
          </a:prstGeom>
        </xdr:spPr>
      </xdr:pic>
    </xdr:grpSp>
    <xdr:clientData/>
  </xdr:twoCellAnchor>
  <xdr:twoCellAnchor editAs="oneCell">
    <xdr:from>
      <xdr:col>21</xdr:col>
      <xdr:colOff>148984</xdr:colOff>
      <xdr:row>23</xdr:row>
      <xdr:rowOff>31207</xdr:rowOff>
    </xdr:from>
    <xdr:to>
      <xdr:col>22</xdr:col>
      <xdr:colOff>6108</xdr:colOff>
      <xdr:row>25</xdr:row>
      <xdr:rowOff>135981</xdr:rowOff>
    </xdr:to>
    <xdr:pic>
      <xdr:nvPicPr>
        <xdr:cNvPr id="16" name="Picture 15">
          <a:extLst>
            <a:ext uri="{FF2B5EF4-FFF2-40B4-BE49-F238E27FC236}">
              <a16:creationId xmlns:a16="http://schemas.microsoft.com/office/drawing/2014/main" id="{3601E2F1-8FE7-4CA2-958B-DF71E04F45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50584" y="4237447"/>
          <a:ext cx="466724" cy="470534"/>
        </a:xfrm>
        <a:prstGeom prst="rect">
          <a:avLst/>
        </a:prstGeom>
      </xdr:spPr>
    </xdr:pic>
    <xdr:clientData/>
  </xdr:twoCellAnchor>
  <xdr:twoCellAnchor editAs="oneCell">
    <xdr:from>
      <xdr:col>21</xdr:col>
      <xdr:colOff>158509</xdr:colOff>
      <xdr:row>27</xdr:row>
      <xdr:rowOff>97881</xdr:rowOff>
    </xdr:from>
    <xdr:to>
      <xdr:col>22</xdr:col>
      <xdr:colOff>91834</xdr:colOff>
      <xdr:row>30</xdr:row>
      <xdr:rowOff>97881</xdr:rowOff>
    </xdr:to>
    <xdr:pic>
      <xdr:nvPicPr>
        <xdr:cNvPr id="17" name="Picture 16">
          <a:extLst>
            <a:ext uri="{FF2B5EF4-FFF2-40B4-BE49-F238E27FC236}">
              <a16:creationId xmlns:a16="http://schemas.microsoft.com/office/drawing/2014/main" id="{A5513E1E-052D-4D5F-A403-EE62237291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960109" y="5035641"/>
          <a:ext cx="542925" cy="548640"/>
        </a:xfrm>
        <a:prstGeom prst="rect">
          <a:avLst/>
        </a:prstGeom>
      </xdr:spPr>
    </xdr:pic>
    <xdr:clientData/>
  </xdr:twoCellAnchor>
  <xdr:twoCellAnchor>
    <xdr:from>
      <xdr:col>4</xdr:col>
      <xdr:colOff>220980</xdr:colOff>
      <xdr:row>3</xdr:row>
      <xdr:rowOff>173355</xdr:rowOff>
    </xdr:from>
    <xdr:to>
      <xdr:col>22</xdr:col>
      <xdr:colOff>312420</xdr:colOff>
      <xdr:row>7</xdr:row>
      <xdr:rowOff>165735</xdr:rowOff>
    </xdr:to>
    <xdr:sp macro="" textlink="">
      <xdr:nvSpPr>
        <xdr:cNvPr id="27" name="Rectangle: Rounded Corners 26">
          <a:extLst>
            <a:ext uri="{FF2B5EF4-FFF2-40B4-BE49-F238E27FC236}">
              <a16:creationId xmlns:a16="http://schemas.microsoft.com/office/drawing/2014/main" id="{4654B1FA-E84E-4B75-9FCD-88F5FB6C7CA9}"/>
            </a:ext>
          </a:extLst>
        </xdr:cNvPr>
        <xdr:cNvSpPr/>
      </xdr:nvSpPr>
      <xdr:spPr>
        <a:xfrm>
          <a:off x="2659380" y="721995"/>
          <a:ext cx="11064240" cy="723900"/>
        </a:xfrm>
        <a:prstGeom prst="roundRect">
          <a:avLst/>
        </a:prstGeom>
        <a:solidFill>
          <a:schemeClr val="bg1"/>
        </a:solidFill>
        <a:ln w="9525">
          <a:gradFill>
            <a:gsLst>
              <a:gs pos="0">
                <a:srgbClr val="A2D8F0"/>
              </a:gs>
              <a:gs pos="38000">
                <a:srgbClr val="5D63D1"/>
              </a:gs>
              <a:gs pos="100000">
                <a:srgbClr val="2E327A"/>
              </a:gs>
            </a:gsLst>
            <a:lin ang="8100000" scaled="0"/>
          </a:gradFill>
        </a:ln>
        <a:effectLst>
          <a:outerShdw blurRad="50800" dist="50800" dir="5400000" algn="ctr" rotWithShape="0">
            <a:srgbClr val="B8C5D6">
              <a:alpha val="74902"/>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393841</xdr:colOff>
      <xdr:row>4</xdr:row>
      <xdr:rowOff>58561</xdr:rowOff>
    </xdr:from>
    <xdr:to>
      <xdr:col>21</xdr:col>
      <xdr:colOff>320040</xdr:colOff>
      <xdr:row>7</xdr:row>
      <xdr:rowOff>45720</xdr:rowOff>
    </xdr:to>
    <xdr:pic macro="[0]!LightMode">
      <xdr:nvPicPr>
        <xdr:cNvPr id="26" name="Picture 25">
          <a:extLst>
            <a:ext uri="{FF2B5EF4-FFF2-40B4-BE49-F238E27FC236}">
              <a16:creationId xmlns:a16="http://schemas.microsoft.com/office/drawing/2014/main" id="{70143BD8-AD65-B2FA-518D-BD0E81733FE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585841" y="790081"/>
          <a:ext cx="535799" cy="535799"/>
        </a:xfrm>
        <a:prstGeom prst="rect">
          <a:avLst/>
        </a:prstGeom>
      </xdr:spPr>
    </xdr:pic>
    <xdr:clientData/>
  </xdr:twoCellAnchor>
  <xdr:twoCellAnchor editAs="oneCell">
    <xdr:from>
      <xdr:col>21</xdr:col>
      <xdr:colOff>471229</xdr:colOff>
      <xdr:row>4</xdr:row>
      <xdr:rowOff>144601</xdr:rowOff>
    </xdr:from>
    <xdr:to>
      <xdr:col>22</xdr:col>
      <xdr:colOff>196910</xdr:colOff>
      <xdr:row>6</xdr:row>
      <xdr:rowOff>114122</xdr:rowOff>
    </xdr:to>
    <xdr:pic macro="[0]!Refresh_All">
      <xdr:nvPicPr>
        <xdr:cNvPr id="28" name="Picture 27">
          <a:extLst>
            <a:ext uri="{FF2B5EF4-FFF2-40B4-BE49-F238E27FC236}">
              <a16:creationId xmlns:a16="http://schemas.microsoft.com/office/drawing/2014/main" id="{8186B59D-57DF-4F4B-9DCC-1BF5AD20EB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V="1">
          <a:off x="13272829" y="876121"/>
          <a:ext cx="335281" cy="335281"/>
        </a:xfrm>
        <a:prstGeom prst="rect">
          <a:avLst/>
        </a:prstGeom>
      </xdr:spPr>
    </xdr:pic>
    <xdr:clientData/>
  </xdr:twoCellAnchor>
  <xdr:twoCellAnchor editAs="oneCell">
    <xdr:from>
      <xdr:col>19</xdr:col>
      <xdr:colOff>518160</xdr:colOff>
      <xdr:row>4</xdr:row>
      <xdr:rowOff>152400</xdr:rowOff>
    </xdr:from>
    <xdr:to>
      <xdr:col>20</xdr:col>
      <xdr:colOff>259079</xdr:colOff>
      <xdr:row>6</xdr:row>
      <xdr:rowOff>137159</xdr:rowOff>
    </xdr:to>
    <xdr:pic macro="[0]!Swtchprg">
      <xdr:nvPicPr>
        <xdr:cNvPr id="18" name="Picture 17">
          <a:extLst>
            <a:ext uri="{FF2B5EF4-FFF2-40B4-BE49-F238E27FC236}">
              <a16:creationId xmlns:a16="http://schemas.microsoft.com/office/drawing/2014/main" id="{F47EC8D4-1834-474A-9B60-5AD74955462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100560" y="883920"/>
          <a:ext cx="350519" cy="350519"/>
        </a:xfrm>
        <a:prstGeom prst="rect">
          <a:avLst/>
        </a:prstGeom>
      </xdr:spPr>
    </xdr:pic>
    <xdr:clientData/>
  </xdr:twoCellAnchor>
  <xdr:twoCellAnchor editAs="oneCell">
    <xdr:from>
      <xdr:col>4</xdr:col>
      <xdr:colOff>388621</xdr:colOff>
      <xdr:row>4</xdr:row>
      <xdr:rowOff>91441</xdr:rowOff>
    </xdr:from>
    <xdr:to>
      <xdr:col>5</xdr:col>
      <xdr:colOff>251461</xdr:colOff>
      <xdr:row>7</xdr:row>
      <xdr:rowOff>15241</xdr:rowOff>
    </xdr:to>
    <xdr:pic>
      <xdr:nvPicPr>
        <xdr:cNvPr id="31" name="Picture 30">
          <a:hlinkClick xmlns:r="http://schemas.openxmlformats.org/officeDocument/2006/relationships" r:id="rId8"/>
          <a:extLst>
            <a:ext uri="{FF2B5EF4-FFF2-40B4-BE49-F238E27FC236}">
              <a16:creationId xmlns:a16="http://schemas.microsoft.com/office/drawing/2014/main" id="{F468650F-54A3-734A-0546-415C926AE6B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827021" y="822961"/>
          <a:ext cx="472440" cy="4724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320040</xdr:colOff>
      <xdr:row>1</xdr:row>
      <xdr:rowOff>74295</xdr:rowOff>
    </xdr:from>
    <xdr:to>
      <xdr:col>23</xdr:col>
      <xdr:colOff>426720</xdr:colOff>
      <xdr:row>41</xdr:row>
      <xdr:rowOff>74295</xdr:rowOff>
    </xdr:to>
    <xdr:sp macro="" textlink="">
      <xdr:nvSpPr>
        <xdr:cNvPr id="4" name="Rectangle: Rounded Corners 3">
          <a:extLst>
            <a:ext uri="{FF2B5EF4-FFF2-40B4-BE49-F238E27FC236}">
              <a16:creationId xmlns:a16="http://schemas.microsoft.com/office/drawing/2014/main" id="{9350E443-E5DB-470A-9EE3-7669126BA28E}"/>
            </a:ext>
          </a:extLst>
        </xdr:cNvPr>
        <xdr:cNvSpPr/>
      </xdr:nvSpPr>
      <xdr:spPr>
        <a:xfrm>
          <a:off x="320040" y="257175"/>
          <a:ext cx="14127480" cy="7315200"/>
        </a:xfrm>
        <a:prstGeom prst="roundRect">
          <a:avLst>
            <a:gd name="adj" fmla="val 7813"/>
          </a:avLst>
        </a:prstGeom>
        <a:gradFill flip="none" rotWithShape="1">
          <a:gsLst>
            <a:gs pos="0">
              <a:srgbClr val="10123B"/>
            </a:gs>
            <a:gs pos="75000">
              <a:srgbClr val="10123B"/>
            </a:gs>
          </a:gsLst>
          <a:lin ang="8100000" scaled="1"/>
          <a:tileRect/>
        </a:gradFill>
        <a:ln w="9525">
          <a:gradFill flip="none" rotWithShape="1">
            <a:gsLst>
              <a:gs pos="0">
                <a:schemeClr val="accent1">
                  <a:lumMod val="5000"/>
                  <a:lumOff val="95000"/>
                </a:schemeClr>
              </a:gs>
              <a:gs pos="7400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487680</xdr:colOff>
      <xdr:row>3</xdr:row>
      <xdr:rowOff>28575</xdr:rowOff>
    </xdr:from>
    <xdr:to>
      <xdr:col>23</xdr:col>
      <xdr:colOff>228600</xdr:colOff>
      <xdr:row>39</xdr:row>
      <xdr:rowOff>120015</xdr:rowOff>
    </xdr:to>
    <xdr:sp macro="" textlink="">
      <xdr:nvSpPr>
        <xdr:cNvPr id="5" name="Rectangle: Rounded Corners 4">
          <a:extLst>
            <a:ext uri="{FF2B5EF4-FFF2-40B4-BE49-F238E27FC236}">
              <a16:creationId xmlns:a16="http://schemas.microsoft.com/office/drawing/2014/main" id="{463D566C-53F5-4C67-BAED-2F43CB312FB8}"/>
            </a:ext>
          </a:extLst>
        </xdr:cNvPr>
        <xdr:cNvSpPr/>
      </xdr:nvSpPr>
      <xdr:spPr>
        <a:xfrm>
          <a:off x="487680" y="577215"/>
          <a:ext cx="13761720" cy="6675120"/>
        </a:xfrm>
        <a:prstGeom prst="roundRect">
          <a:avLst>
            <a:gd name="adj" fmla="val 3309"/>
          </a:avLst>
        </a:prstGeom>
        <a:gradFill flip="none" rotWithShape="1">
          <a:gsLst>
            <a:gs pos="0">
              <a:srgbClr val="20245A"/>
            </a:gs>
            <a:gs pos="75000">
              <a:srgbClr val="10123B"/>
            </a:gs>
          </a:gsLst>
          <a:lin ang="8100000" scaled="1"/>
          <a:tileRect/>
        </a:gradFill>
        <a:ln w="9525">
          <a:gradFill flip="none" rotWithShape="1">
            <a:gsLst>
              <a:gs pos="0">
                <a:srgbClr val="B9C1FF"/>
              </a:gs>
              <a:gs pos="33000">
                <a:srgbClr val="3D4098"/>
              </a:gs>
              <a:gs pos="100000">
                <a:srgbClr val="333787"/>
              </a:gs>
            </a:gsLst>
            <a:lin ang="9000000" scaled="0"/>
            <a:tileRect/>
          </a:gradFill>
        </a:ln>
        <a:effectLst>
          <a:outerShdw blurRad="444500" dist="1016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1210</xdr:colOff>
      <xdr:row>9</xdr:row>
      <xdr:rowOff>6442</xdr:rowOff>
    </xdr:from>
    <xdr:to>
      <xdr:col>3</xdr:col>
      <xdr:colOff>62170</xdr:colOff>
      <xdr:row>38</xdr:row>
      <xdr:rowOff>129540</xdr:rowOff>
    </xdr:to>
    <xdr:sp macro="" textlink="">
      <xdr:nvSpPr>
        <xdr:cNvPr id="6" name="Rectangle: Rounded Corners 5">
          <a:extLst>
            <a:ext uri="{FF2B5EF4-FFF2-40B4-BE49-F238E27FC236}">
              <a16:creationId xmlns:a16="http://schemas.microsoft.com/office/drawing/2014/main" id="{F28E328F-5E9E-4CB1-8D38-5DE01C3C8351}"/>
            </a:ext>
          </a:extLst>
        </xdr:cNvPr>
        <xdr:cNvSpPr/>
      </xdr:nvSpPr>
      <xdr:spPr>
        <a:xfrm>
          <a:off x="610810" y="1652362"/>
          <a:ext cx="1280160" cy="5426618"/>
        </a:xfrm>
        <a:prstGeom prst="roundRect">
          <a:avLst>
            <a:gd name="adj" fmla="val 12415"/>
          </a:avLst>
        </a:prstGeom>
        <a:gradFill>
          <a:gsLst>
            <a:gs pos="0">
              <a:srgbClr val="323687"/>
            </a:gs>
            <a:gs pos="47000">
              <a:srgbClr val="10123A"/>
            </a:gs>
          </a:gsLst>
          <a:lin ang="78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107890</xdr:colOff>
      <xdr:row>3</xdr:row>
      <xdr:rowOff>160020</xdr:rowOff>
    </xdr:from>
    <xdr:to>
      <xdr:col>22</xdr:col>
      <xdr:colOff>579120</xdr:colOff>
      <xdr:row>6</xdr:row>
      <xdr:rowOff>59436</xdr:rowOff>
    </xdr:to>
    <xdr:sp macro="" textlink="">
      <xdr:nvSpPr>
        <xdr:cNvPr id="7" name="Rectangle: Rounded Corners 6">
          <a:extLst>
            <a:ext uri="{FF2B5EF4-FFF2-40B4-BE49-F238E27FC236}">
              <a16:creationId xmlns:a16="http://schemas.microsoft.com/office/drawing/2014/main" id="{44A2091C-A1D9-C7F2-A329-48CB19344E2B}"/>
            </a:ext>
          </a:extLst>
        </xdr:cNvPr>
        <xdr:cNvSpPr/>
      </xdr:nvSpPr>
      <xdr:spPr>
        <a:xfrm>
          <a:off x="2546290" y="708660"/>
          <a:ext cx="11444030" cy="448056"/>
        </a:xfrm>
        <a:prstGeom prst="roundRect">
          <a:avLst>
            <a:gd name="adj" fmla="val 50000"/>
          </a:avLst>
        </a:prstGeom>
        <a:gradFill>
          <a:gsLst>
            <a:gs pos="13000">
              <a:srgbClr val="2F3381"/>
            </a:gs>
            <a:gs pos="85000">
              <a:srgbClr val="2E327F"/>
            </a:gs>
            <a:gs pos="0">
              <a:srgbClr val="323687"/>
            </a:gs>
            <a:gs pos="100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266700</xdr:colOff>
      <xdr:row>8</xdr:row>
      <xdr:rowOff>163195</xdr:rowOff>
    </xdr:from>
    <xdr:to>
      <xdr:col>13</xdr:col>
      <xdr:colOff>342900</xdr:colOff>
      <xdr:row>22</xdr:row>
      <xdr:rowOff>178435</xdr:rowOff>
    </xdr:to>
    <xdr:sp macro="" textlink="">
      <xdr:nvSpPr>
        <xdr:cNvPr id="8" name="Rectangle: Rounded Corners 7">
          <a:extLst>
            <a:ext uri="{FF2B5EF4-FFF2-40B4-BE49-F238E27FC236}">
              <a16:creationId xmlns:a16="http://schemas.microsoft.com/office/drawing/2014/main" id="{5521B0E6-C26F-353C-32D1-057CCA912D7F}"/>
            </a:ext>
          </a:extLst>
        </xdr:cNvPr>
        <xdr:cNvSpPr/>
      </xdr:nvSpPr>
      <xdr:spPr>
        <a:xfrm>
          <a:off x="3924300" y="1626235"/>
          <a:ext cx="4343400" cy="2575560"/>
        </a:xfrm>
        <a:prstGeom prst="roundRect">
          <a:avLst>
            <a:gd name="adj" fmla="val 5181"/>
          </a:avLst>
        </a:prstGeom>
        <a:gradFill>
          <a:gsLst>
            <a:gs pos="0">
              <a:srgbClr val="323687"/>
            </a:gs>
            <a:gs pos="89000">
              <a:srgbClr val="10123A"/>
            </a:gs>
          </a:gsLst>
          <a:lin ang="6600000" scaled="0"/>
        </a:gradFill>
        <a:ln w="9525">
          <a:gradFill>
            <a:gsLst>
              <a:gs pos="0">
                <a:srgbClr val="A2D8F0"/>
              </a:gs>
              <a:gs pos="38000">
                <a:srgbClr val="5D63D1"/>
              </a:gs>
              <a:gs pos="100000">
                <a:srgbClr val="2E327A"/>
              </a:gs>
            </a:gsLst>
            <a:lin ang="8100000" scaled="0"/>
          </a:grad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13</xdr:col>
      <xdr:colOff>511750</xdr:colOff>
      <xdr:row>8</xdr:row>
      <xdr:rowOff>175170</xdr:rowOff>
    </xdr:from>
    <xdr:to>
      <xdr:col>17</xdr:col>
      <xdr:colOff>450790</xdr:colOff>
      <xdr:row>23</xdr:row>
      <xdr:rowOff>7530</xdr:rowOff>
    </xdr:to>
    <xdr:sp macro="" textlink="">
      <xdr:nvSpPr>
        <xdr:cNvPr id="9" name="Rectangle: Rounded Corners 8">
          <a:extLst>
            <a:ext uri="{FF2B5EF4-FFF2-40B4-BE49-F238E27FC236}">
              <a16:creationId xmlns:a16="http://schemas.microsoft.com/office/drawing/2014/main" id="{9657061D-569F-14F3-F307-B8EB77AC5D7C}"/>
            </a:ext>
          </a:extLst>
        </xdr:cNvPr>
        <xdr:cNvSpPr/>
      </xdr:nvSpPr>
      <xdr:spPr>
        <a:xfrm>
          <a:off x="8436550" y="1638210"/>
          <a:ext cx="2377440" cy="2575560"/>
        </a:xfrm>
        <a:prstGeom prst="roundRect">
          <a:avLst>
            <a:gd name="adj" fmla="val 3984"/>
          </a:avLst>
        </a:prstGeom>
        <a:gradFill>
          <a:gsLst>
            <a:gs pos="0">
              <a:srgbClr val="323687"/>
            </a:gs>
            <a:gs pos="86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17</xdr:col>
      <xdr:colOff>586740</xdr:colOff>
      <xdr:row>8</xdr:row>
      <xdr:rowOff>168640</xdr:rowOff>
    </xdr:from>
    <xdr:to>
      <xdr:col>23</xdr:col>
      <xdr:colOff>86119</xdr:colOff>
      <xdr:row>22</xdr:row>
      <xdr:rowOff>22860</xdr:rowOff>
    </xdr:to>
    <xdr:sp macro="" textlink="">
      <xdr:nvSpPr>
        <xdr:cNvPr id="10" name="Rectangle: Rounded Corners 9">
          <a:extLst>
            <a:ext uri="{FF2B5EF4-FFF2-40B4-BE49-F238E27FC236}">
              <a16:creationId xmlns:a16="http://schemas.microsoft.com/office/drawing/2014/main" id="{CB729CE6-567B-08F5-7588-05F7E2CEAD3C}"/>
            </a:ext>
          </a:extLst>
        </xdr:cNvPr>
        <xdr:cNvSpPr/>
      </xdr:nvSpPr>
      <xdr:spPr>
        <a:xfrm>
          <a:off x="10949940" y="1631680"/>
          <a:ext cx="3156979" cy="2414540"/>
        </a:xfrm>
        <a:prstGeom prst="roundRect">
          <a:avLst>
            <a:gd name="adj" fmla="val 6965"/>
          </a:avLst>
        </a:prstGeom>
        <a:gradFill>
          <a:gsLst>
            <a:gs pos="0">
              <a:srgbClr val="323687"/>
            </a:gs>
            <a:gs pos="100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3</xdr:col>
      <xdr:colOff>289560</xdr:colOff>
      <xdr:row>24</xdr:row>
      <xdr:rowOff>78287</xdr:rowOff>
    </xdr:from>
    <xdr:to>
      <xdr:col>7</xdr:col>
      <xdr:colOff>403860</xdr:colOff>
      <xdr:row>38</xdr:row>
      <xdr:rowOff>47807</xdr:rowOff>
    </xdr:to>
    <xdr:sp macro="" textlink="">
      <xdr:nvSpPr>
        <xdr:cNvPr id="11" name="Rectangle: Rounded Corners 10">
          <a:extLst>
            <a:ext uri="{FF2B5EF4-FFF2-40B4-BE49-F238E27FC236}">
              <a16:creationId xmlns:a16="http://schemas.microsoft.com/office/drawing/2014/main" id="{AD41F19D-E374-A338-A6B8-1952BB5E190E}"/>
            </a:ext>
          </a:extLst>
        </xdr:cNvPr>
        <xdr:cNvSpPr/>
      </xdr:nvSpPr>
      <xdr:spPr>
        <a:xfrm>
          <a:off x="2118360" y="4467407"/>
          <a:ext cx="2552700" cy="2529840"/>
        </a:xfrm>
        <a:prstGeom prst="roundRect">
          <a:avLst>
            <a:gd name="adj" fmla="val 10378"/>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13</xdr:col>
      <xdr:colOff>519370</xdr:colOff>
      <xdr:row>24</xdr:row>
      <xdr:rowOff>55427</xdr:rowOff>
    </xdr:from>
    <xdr:to>
      <xdr:col>18</xdr:col>
      <xdr:colOff>397450</xdr:colOff>
      <xdr:row>38</xdr:row>
      <xdr:rowOff>24947</xdr:rowOff>
    </xdr:to>
    <xdr:sp macro="" textlink="">
      <xdr:nvSpPr>
        <xdr:cNvPr id="12" name="Rectangle: Rounded Corners 11">
          <a:extLst>
            <a:ext uri="{FF2B5EF4-FFF2-40B4-BE49-F238E27FC236}">
              <a16:creationId xmlns:a16="http://schemas.microsoft.com/office/drawing/2014/main" id="{A6EE30BD-7D9E-8063-81A2-EAC4CF1E4F68}"/>
            </a:ext>
          </a:extLst>
        </xdr:cNvPr>
        <xdr:cNvSpPr/>
      </xdr:nvSpPr>
      <xdr:spPr>
        <a:xfrm>
          <a:off x="8444170" y="4444547"/>
          <a:ext cx="2926080" cy="2529840"/>
        </a:xfrm>
        <a:prstGeom prst="roundRect">
          <a:avLst>
            <a:gd name="adj" fmla="val 4975"/>
          </a:avLst>
        </a:prstGeom>
        <a:gradFill>
          <a:gsLst>
            <a:gs pos="0">
              <a:srgbClr val="323687"/>
            </a:gs>
            <a:gs pos="68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18</xdr:col>
      <xdr:colOff>558559</xdr:colOff>
      <xdr:row>22</xdr:row>
      <xdr:rowOff>105502</xdr:rowOff>
    </xdr:from>
    <xdr:to>
      <xdr:col>23</xdr:col>
      <xdr:colOff>70879</xdr:colOff>
      <xdr:row>38</xdr:row>
      <xdr:rowOff>175260</xdr:rowOff>
    </xdr:to>
    <xdr:sp macro="" textlink="">
      <xdr:nvSpPr>
        <xdr:cNvPr id="13" name="Rectangle: Rounded Corners 12">
          <a:extLst>
            <a:ext uri="{FF2B5EF4-FFF2-40B4-BE49-F238E27FC236}">
              <a16:creationId xmlns:a16="http://schemas.microsoft.com/office/drawing/2014/main" id="{DB3E92FC-2696-411A-E9AD-7207B2A0A5E2}"/>
            </a:ext>
          </a:extLst>
        </xdr:cNvPr>
        <xdr:cNvSpPr/>
      </xdr:nvSpPr>
      <xdr:spPr>
        <a:xfrm>
          <a:off x="11531359" y="4128862"/>
          <a:ext cx="2560320" cy="2995838"/>
        </a:xfrm>
        <a:prstGeom prst="roundRect">
          <a:avLst>
            <a:gd name="adj" fmla="val 11565"/>
          </a:avLst>
        </a:prstGeom>
        <a:gradFill>
          <a:gsLst>
            <a:gs pos="0">
              <a:srgbClr val="323687"/>
            </a:gs>
            <a:gs pos="68000">
              <a:srgbClr val="10123A"/>
            </a:gs>
          </a:gsLst>
          <a:lin ang="66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7</xdr:col>
      <xdr:colOff>518160</xdr:colOff>
      <xdr:row>24</xdr:row>
      <xdr:rowOff>33656</xdr:rowOff>
    </xdr:from>
    <xdr:to>
      <xdr:col>13</xdr:col>
      <xdr:colOff>335280</xdr:colOff>
      <xdr:row>38</xdr:row>
      <xdr:rowOff>1271</xdr:rowOff>
    </xdr:to>
    <xdr:sp macro="" textlink="">
      <xdr:nvSpPr>
        <xdr:cNvPr id="14" name="Rectangle: Rounded Corners 13">
          <a:extLst>
            <a:ext uri="{FF2B5EF4-FFF2-40B4-BE49-F238E27FC236}">
              <a16:creationId xmlns:a16="http://schemas.microsoft.com/office/drawing/2014/main" id="{046B9222-5935-B93C-E3A3-D65FF82F7747}"/>
            </a:ext>
          </a:extLst>
        </xdr:cNvPr>
        <xdr:cNvSpPr/>
      </xdr:nvSpPr>
      <xdr:spPr>
        <a:xfrm>
          <a:off x="4785360" y="4422776"/>
          <a:ext cx="3474720" cy="2527935"/>
        </a:xfrm>
        <a:prstGeom prst="roundRect">
          <a:avLst>
            <a:gd name="adj" fmla="val 5555"/>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1</xdr:col>
      <xdr:colOff>350520</xdr:colOff>
      <xdr:row>9</xdr:row>
      <xdr:rowOff>91440</xdr:rowOff>
    </xdr:from>
    <xdr:to>
      <xdr:col>2</xdr:col>
      <xdr:colOff>464820</xdr:colOff>
      <xdr:row>14</xdr:row>
      <xdr:rowOff>53340</xdr:rowOff>
    </xdr:to>
    <xdr:grpSp>
      <xdr:nvGrpSpPr>
        <xdr:cNvPr id="57" name="Group 56">
          <a:hlinkClick xmlns:r="http://schemas.openxmlformats.org/officeDocument/2006/relationships" r:id="rId1"/>
          <a:extLst>
            <a:ext uri="{FF2B5EF4-FFF2-40B4-BE49-F238E27FC236}">
              <a16:creationId xmlns:a16="http://schemas.microsoft.com/office/drawing/2014/main" id="{03D89D8E-2C64-F8F8-094B-FDF3B7862DAC}"/>
            </a:ext>
          </a:extLst>
        </xdr:cNvPr>
        <xdr:cNvGrpSpPr/>
      </xdr:nvGrpSpPr>
      <xdr:grpSpPr>
        <a:xfrm>
          <a:off x="960120" y="1737360"/>
          <a:ext cx="723900" cy="876300"/>
          <a:chOff x="1318260" y="1729740"/>
          <a:chExt cx="723900" cy="876300"/>
        </a:xfrm>
      </xdr:grpSpPr>
      <xdr:pic>
        <xdr:nvPicPr>
          <xdr:cNvPr id="16" name="Graphic 15" descr="Home with solid fill">
            <a:extLst>
              <a:ext uri="{FF2B5EF4-FFF2-40B4-BE49-F238E27FC236}">
                <a16:creationId xmlns:a16="http://schemas.microsoft.com/office/drawing/2014/main" id="{95244E04-4C60-2849-B51E-3E1CAC1E0F8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02080" y="1729740"/>
            <a:ext cx="457200" cy="457200"/>
          </a:xfrm>
          <a:prstGeom prst="rect">
            <a:avLst/>
          </a:prstGeom>
          <a:effectLst>
            <a:glow rad="127000">
              <a:srgbClr val="090EE9">
                <a:alpha val="42745"/>
              </a:srgbClr>
            </a:glow>
          </a:effectLst>
        </xdr:spPr>
      </xdr:pic>
      <xdr:sp macro="" textlink="">
        <xdr:nvSpPr>
          <xdr:cNvPr id="36" name="TextBox 35">
            <a:extLst>
              <a:ext uri="{FF2B5EF4-FFF2-40B4-BE49-F238E27FC236}">
                <a16:creationId xmlns:a16="http://schemas.microsoft.com/office/drawing/2014/main" id="{BFB37172-4E80-9C4E-16FD-F382381E79EB}"/>
              </a:ext>
            </a:extLst>
          </xdr:cNvPr>
          <xdr:cNvSpPr txBox="1"/>
        </xdr:nvSpPr>
        <xdr:spPr>
          <a:xfrm>
            <a:off x="1318260" y="2225040"/>
            <a:ext cx="7239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Home</a:t>
            </a:r>
          </a:p>
        </xdr:txBody>
      </xdr:sp>
    </xdr:grpSp>
    <xdr:clientData/>
  </xdr:twoCellAnchor>
  <xdr:twoCellAnchor>
    <xdr:from>
      <xdr:col>1</xdr:col>
      <xdr:colOff>167640</xdr:colOff>
      <xdr:row>3</xdr:row>
      <xdr:rowOff>53340</xdr:rowOff>
    </xdr:from>
    <xdr:to>
      <xdr:col>3</xdr:col>
      <xdr:colOff>457200</xdr:colOff>
      <xdr:row>7</xdr:row>
      <xdr:rowOff>114300</xdr:rowOff>
    </xdr:to>
    <xdr:grpSp>
      <xdr:nvGrpSpPr>
        <xdr:cNvPr id="39" name="Group 38">
          <a:extLst>
            <a:ext uri="{FF2B5EF4-FFF2-40B4-BE49-F238E27FC236}">
              <a16:creationId xmlns:a16="http://schemas.microsoft.com/office/drawing/2014/main" id="{08629C5F-9416-4591-8CB0-80853C84D123}"/>
            </a:ext>
          </a:extLst>
        </xdr:cNvPr>
        <xdr:cNvGrpSpPr/>
      </xdr:nvGrpSpPr>
      <xdr:grpSpPr>
        <a:xfrm>
          <a:off x="777240" y="601980"/>
          <a:ext cx="1508760" cy="792480"/>
          <a:chOff x="952500" y="708660"/>
          <a:chExt cx="1508760" cy="792480"/>
        </a:xfrm>
      </xdr:grpSpPr>
      <xdr:pic>
        <xdr:nvPicPr>
          <xdr:cNvPr id="40" name="Picture 39">
            <a:extLst>
              <a:ext uri="{FF2B5EF4-FFF2-40B4-BE49-F238E27FC236}">
                <a16:creationId xmlns:a16="http://schemas.microsoft.com/office/drawing/2014/main" id="{11DC2F22-0F6F-04D8-6AC3-713CE55000FD}"/>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2756" r="21777" b="52356"/>
          <a:stretch/>
        </xdr:blipFill>
        <xdr:spPr>
          <a:xfrm>
            <a:off x="952500" y="708660"/>
            <a:ext cx="662940" cy="655320"/>
          </a:xfrm>
          <a:prstGeom prst="rect">
            <a:avLst/>
          </a:prstGeom>
        </xdr:spPr>
      </xdr:pic>
      <xdr:sp macro="" textlink="">
        <xdr:nvSpPr>
          <xdr:cNvPr id="41" name="TextBox 40">
            <a:extLst>
              <a:ext uri="{FF2B5EF4-FFF2-40B4-BE49-F238E27FC236}">
                <a16:creationId xmlns:a16="http://schemas.microsoft.com/office/drawing/2014/main" id="{76322E78-915A-1CA0-6300-F9899C96F50B}"/>
              </a:ext>
            </a:extLst>
          </xdr:cNvPr>
          <xdr:cNvSpPr txBox="1"/>
        </xdr:nvSpPr>
        <xdr:spPr>
          <a:xfrm>
            <a:off x="1661160" y="876300"/>
            <a:ext cx="800100" cy="624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tx2">
                    <a:lumMod val="25000"/>
                    <a:lumOff val="75000"/>
                  </a:schemeClr>
                </a:solidFill>
              </a:rPr>
              <a:t>MISUO</a:t>
            </a:r>
          </a:p>
          <a:p>
            <a:r>
              <a:rPr lang="ar-EG" sz="1600">
                <a:solidFill>
                  <a:schemeClr val="tx2">
                    <a:lumMod val="25000"/>
                    <a:lumOff val="75000"/>
                  </a:schemeClr>
                </a:solidFill>
              </a:rPr>
              <a:t>مسيو</a:t>
            </a:r>
            <a:endParaRPr lang="en-US" sz="1600">
              <a:solidFill>
                <a:schemeClr val="tx2">
                  <a:lumMod val="25000"/>
                  <a:lumOff val="75000"/>
                </a:schemeClr>
              </a:solidFill>
            </a:endParaRPr>
          </a:p>
        </xdr:txBody>
      </xdr:sp>
      <xdr:cxnSp macro="">
        <xdr:nvCxnSpPr>
          <xdr:cNvPr id="42" name="Straight Connector 41">
            <a:extLst>
              <a:ext uri="{FF2B5EF4-FFF2-40B4-BE49-F238E27FC236}">
                <a16:creationId xmlns:a16="http://schemas.microsoft.com/office/drawing/2014/main" id="{01561472-7B84-A0F1-E6C3-FA9D96825F7E}"/>
              </a:ext>
            </a:extLst>
          </xdr:cNvPr>
          <xdr:cNvCxnSpPr/>
        </xdr:nvCxnSpPr>
        <xdr:spPr>
          <a:xfrm>
            <a:off x="1630680" y="937260"/>
            <a:ext cx="0" cy="457200"/>
          </a:xfrm>
          <a:prstGeom prst="line">
            <a:avLst/>
          </a:prstGeom>
          <a:ln w="12700">
            <a:solidFill>
              <a:schemeClr val="tx2">
                <a:lumMod val="25000"/>
                <a:lumOff val="75000"/>
              </a:schemeClr>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xdr:col>
      <xdr:colOff>190500</xdr:colOff>
      <xdr:row>33</xdr:row>
      <xdr:rowOff>91440</xdr:rowOff>
    </xdr:from>
    <xdr:to>
      <xdr:col>3</xdr:col>
      <xdr:colOff>38100</xdr:colOff>
      <xdr:row>37</xdr:row>
      <xdr:rowOff>175260</xdr:rowOff>
    </xdr:to>
    <xdr:grpSp>
      <xdr:nvGrpSpPr>
        <xdr:cNvPr id="45" name="Group 44">
          <a:extLst>
            <a:ext uri="{FF2B5EF4-FFF2-40B4-BE49-F238E27FC236}">
              <a16:creationId xmlns:a16="http://schemas.microsoft.com/office/drawing/2014/main" id="{359AF654-FF5B-F187-F06C-BBEAA9AA6DC5}"/>
            </a:ext>
          </a:extLst>
        </xdr:cNvPr>
        <xdr:cNvGrpSpPr/>
      </xdr:nvGrpSpPr>
      <xdr:grpSpPr>
        <a:xfrm>
          <a:off x="800100" y="6126480"/>
          <a:ext cx="1066800" cy="815340"/>
          <a:chOff x="1181100" y="6057900"/>
          <a:chExt cx="1089660" cy="815340"/>
        </a:xfrm>
      </xdr:grpSpPr>
      <xdr:sp macro="[0]!Swtchprg" textlink="">
        <xdr:nvSpPr>
          <xdr:cNvPr id="37" name="TextBox 36">
            <a:extLst>
              <a:ext uri="{FF2B5EF4-FFF2-40B4-BE49-F238E27FC236}">
                <a16:creationId xmlns:a16="http://schemas.microsoft.com/office/drawing/2014/main" id="{8AF2836A-EB80-D24C-4E0B-8BA37FCDC334}"/>
              </a:ext>
            </a:extLst>
          </xdr:cNvPr>
          <xdr:cNvSpPr txBox="1"/>
        </xdr:nvSpPr>
        <xdr:spPr>
          <a:xfrm>
            <a:off x="1181100" y="6492240"/>
            <a:ext cx="10896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Full Screen</a:t>
            </a:r>
          </a:p>
        </xdr:txBody>
      </xdr:sp>
      <xdr:pic macro="[0]!Swtchprg">
        <xdr:nvPicPr>
          <xdr:cNvPr id="44" name="Graphic 43" descr="Monitor with solid fill">
            <a:extLst>
              <a:ext uri="{FF2B5EF4-FFF2-40B4-BE49-F238E27FC236}">
                <a16:creationId xmlns:a16="http://schemas.microsoft.com/office/drawing/2014/main" id="{7268E1C8-5860-6CF0-F090-EB051000508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32560" y="6057900"/>
            <a:ext cx="457200" cy="457200"/>
          </a:xfrm>
          <a:prstGeom prst="rect">
            <a:avLst/>
          </a:prstGeom>
          <a:effectLst>
            <a:glow rad="127000">
              <a:srgbClr val="090EE9">
                <a:alpha val="42745"/>
              </a:srgbClr>
            </a:glow>
          </a:effectLst>
        </xdr:spPr>
      </xdr:pic>
    </xdr:grpSp>
    <xdr:clientData/>
  </xdr:twoCellAnchor>
  <xdr:twoCellAnchor>
    <xdr:from>
      <xdr:col>1</xdr:col>
      <xdr:colOff>281940</xdr:colOff>
      <xdr:row>27</xdr:row>
      <xdr:rowOff>60960</xdr:rowOff>
    </xdr:from>
    <xdr:to>
      <xdr:col>2</xdr:col>
      <xdr:colOff>525780</xdr:colOff>
      <xdr:row>32</xdr:row>
      <xdr:rowOff>7620</xdr:rowOff>
    </xdr:to>
    <xdr:grpSp>
      <xdr:nvGrpSpPr>
        <xdr:cNvPr id="48" name="Group 47">
          <a:extLst>
            <a:ext uri="{FF2B5EF4-FFF2-40B4-BE49-F238E27FC236}">
              <a16:creationId xmlns:a16="http://schemas.microsoft.com/office/drawing/2014/main" id="{A0243A52-2E20-471A-E614-F29FDA1D0E44}"/>
            </a:ext>
          </a:extLst>
        </xdr:cNvPr>
        <xdr:cNvGrpSpPr/>
      </xdr:nvGrpSpPr>
      <xdr:grpSpPr>
        <a:xfrm>
          <a:off x="891540" y="4998720"/>
          <a:ext cx="853440" cy="861060"/>
          <a:chOff x="1280160" y="4846320"/>
          <a:chExt cx="853440" cy="861060"/>
        </a:xfrm>
      </xdr:grpSpPr>
      <xdr:pic macro="[0]!Refresh_All">
        <xdr:nvPicPr>
          <xdr:cNvPr id="24" name="Graphic 23" descr="Arrow circle with solid fill">
            <a:extLst>
              <a:ext uri="{FF2B5EF4-FFF2-40B4-BE49-F238E27FC236}">
                <a16:creationId xmlns:a16="http://schemas.microsoft.com/office/drawing/2014/main" id="{584504D5-C418-4FC3-85E3-55A1357AADF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9700" y="4846320"/>
            <a:ext cx="457200" cy="457200"/>
          </a:xfrm>
          <a:prstGeom prst="rect">
            <a:avLst/>
          </a:prstGeom>
          <a:effectLst>
            <a:glow rad="127000">
              <a:srgbClr val="090EE9">
                <a:alpha val="42745"/>
              </a:srgbClr>
            </a:glow>
          </a:effectLst>
        </xdr:spPr>
      </xdr:pic>
      <xdr:sp macro="[0]!Refresh_All" textlink="">
        <xdr:nvSpPr>
          <xdr:cNvPr id="46" name="TextBox 45">
            <a:extLst>
              <a:ext uri="{FF2B5EF4-FFF2-40B4-BE49-F238E27FC236}">
                <a16:creationId xmlns:a16="http://schemas.microsoft.com/office/drawing/2014/main" id="{1AD90ED8-00F4-6EEC-DD82-B2DC36D0766C}"/>
              </a:ext>
            </a:extLst>
          </xdr:cNvPr>
          <xdr:cNvSpPr txBox="1"/>
        </xdr:nvSpPr>
        <xdr:spPr>
          <a:xfrm>
            <a:off x="1280160" y="5326380"/>
            <a:ext cx="8534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Refresh</a:t>
            </a:r>
          </a:p>
        </xdr:txBody>
      </xdr:sp>
    </xdr:grpSp>
    <xdr:clientData/>
  </xdr:twoCellAnchor>
  <xdr:twoCellAnchor>
    <xdr:from>
      <xdr:col>1</xdr:col>
      <xdr:colOff>121920</xdr:colOff>
      <xdr:row>21</xdr:row>
      <xdr:rowOff>60960</xdr:rowOff>
    </xdr:from>
    <xdr:to>
      <xdr:col>3</xdr:col>
      <xdr:colOff>114300</xdr:colOff>
      <xdr:row>26</xdr:row>
      <xdr:rowOff>53340</xdr:rowOff>
    </xdr:to>
    <xdr:grpSp>
      <xdr:nvGrpSpPr>
        <xdr:cNvPr id="22" name="Group 21">
          <a:extLst>
            <a:ext uri="{FF2B5EF4-FFF2-40B4-BE49-F238E27FC236}">
              <a16:creationId xmlns:a16="http://schemas.microsoft.com/office/drawing/2014/main" id="{18FFCDA3-918E-8C65-7EA6-2D136903DBAF}"/>
            </a:ext>
          </a:extLst>
        </xdr:cNvPr>
        <xdr:cNvGrpSpPr/>
      </xdr:nvGrpSpPr>
      <xdr:grpSpPr>
        <a:xfrm>
          <a:off x="731520" y="3901440"/>
          <a:ext cx="1211580" cy="906780"/>
          <a:chOff x="731520" y="3901440"/>
          <a:chExt cx="1211580" cy="906780"/>
        </a:xfrm>
      </xdr:grpSpPr>
      <xdr:sp macro="" textlink="">
        <xdr:nvSpPr>
          <xdr:cNvPr id="49" name="TextBox 48">
            <a:hlinkClick xmlns:r="http://schemas.openxmlformats.org/officeDocument/2006/relationships" r:id="rId9"/>
            <a:extLst>
              <a:ext uri="{FF2B5EF4-FFF2-40B4-BE49-F238E27FC236}">
                <a16:creationId xmlns:a16="http://schemas.microsoft.com/office/drawing/2014/main" id="{4E2436B8-0060-66D9-B266-8BE9B304054D}"/>
              </a:ext>
            </a:extLst>
          </xdr:cNvPr>
          <xdr:cNvSpPr txBox="1"/>
        </xdr:nvSpPr>
        <xdr:spPr>
          <a:xfrm>
            <a:off x="731520" y="4427220"/>
            <a:ext cx="121158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Ask Question</a:t>
            </a:r>
          </a:p>
        </xdr:txBody>
      </xdr:sp>
      <xdr:pic>
        <xdr:nvPicPr>
          <xdr:cNvPr id="51" name="Graphic 50" descr="Help with solid fill">
            <a:extLst>
              <a:ext uri="{FF2B5EF4-FFF2-40B4-BE49-F238E27FC236}">
                <a16:creationId xmlns:a16="http://schemas.microsoft.com/office/drawing/2014/main" id="{5510D026-DE9F-E5F9-2537-B90FD153DCD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51560" y="3901440"/>
            <a:ext cx="457200" cy="457200"/>
          </a:xfrm>
          <a:prstGeom prst="rect">
            <a:avLst/>
          </a:prstGeom>
          <a:effectLst>
            <a:glow rad="127000">
              <a:srgbClr val="090EE9">
                <a:alpha val="42745"/>
              </a:srgbClr>
            </a:glow>
          </a:effectLst>
        </xdr:spPr>
      </xdr:pic>
    </xdr:grpSp>
    <xdr:clientData/>
  </xdr:twoCellAnchor>
  <xdr:twoCellAnchor>
    <xdr:from>
      <xdr:col>1</xdr:col>
      <xdr:colOff>144780</xdr:colOff>
      <xdr:row>15</xdr:row>
      <xdr:rowOff>22860</xdr:rowOff>
    </xdr:from>
    <xdr:to>
      <xdr:col>3</xdr:col>
      <xdr:colOff>22860</xdr:colOff>
      <xdr:row>20</xdr:row>
      <xdr:rowOff>0</xdr:rowOff>
    </xdr:to>
    <xdr:grpSp>
      <xdr:nvGrpSpPr>
        <xdr:cNvPr id="56" name="Group 55">
          <a:hlinkClick xmlns:r="http://schemas.openxmlformats.org/officeDocument/2006/relationships" r:id="rId12"/>
          <a:extLst>
            <a:ext uri="{FF2B5EF4-FFF2-40B4-BE49-F238E27FC236}">
              <a16:creationId xmlns:a16="http://schemas.microsoft.com/office/drawing/2014/main" id="{9A5E3C34-6079-CBE2-1B90-8B0F24432251}"/>
            </a:ext>
          </a:extLst>
        </xdr:cNvPr>
        <xdr:cNvGrpSpPr/>
      </xdr:nvGrpSpPr>
      <xdr:grpSpPr>
        <a:xfrm>
          <a:off x="754380" y="2766060"/>
          <a:ext cx="1097280" cy="891540"/>
          <a:chOff x="1112520" y="2781300"/>
          <a:chExt cx="1097280" cy="891540"/>
        </a:xfrm>
      </xdr:grpSpPr>
      <xdr:pic>
        <xdr:nvPicPr>
          <xdr:cNvPr id="53" name="Graphic 52" descr="Database with solid fill">
            <a:extLst>
              <a:ext uri="{FF2B5EF4-FFF2-40B4-BE49-F238E27FC236}">
                <a16:creationId xmlns:a16="http://schemas.microsoft.com/office/drawing/2014/main" id="{2F4E5340-40A0-D746-408D-23CF0A1E3E4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417320" y="2781300"/>
            <a:ext cx="457200" cy="457200"/>
          </a:xfrm>
          <a:prstGeom prst="rect">
            <a:avLst/>
          </a:prstGeom>
          <a:effectLst>
            <a:glow rad="127000">
              <a:srgbClr val="090EE9">
                <a:alpha val="42745"/>
              </a:srgbClr>
            </a:glow>
          </a:effectLst>
        </xdr:spPr>
      </xdr:pic>
      <xdr:sp macro="" textlink="">
        <xdr:nvSpPr>
          <xdr:cNvPr id="55" name="TextBox 54">
            <a:extLst>
              <a:ext uri="{FF2B5EF4-FFF2-40B4-BE49-F238E27FC236}">
                <a16:creationId xmlns:a16="http://schemas.microsoft.com/office/drawing/2014/main" id="{8CB61053-7E29-498D-2330-2BE1EE0ED014}"/>
              </a:ext>
            </a:extLst>
          </xdr:cNvPr>
          <xdr:cNvSpPr txBox="1"/>
        </xdr:nvSpPr>
        <xdr:spPr>
          <a:xfrm>
            <a:off x="1112520" y="3291840"/>
            <a:ext cx="109728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Data Source</a:t>
            </a:r>
          </a:p>
        </xdr:txBody>
      </xdr:sp>
    </xdr:grpSp>
    <xdr:clientData/>
  </xdr:twoCellAnchor>
  <xdr:twoCellAnchor>
    <xdr:from>
      <xdr:col>6</xdr:col>
      <xdr:colOff>312420</xdr:colOff>
      <xdr:row>9</xdr:row>
      <xdr:rowOff>106680</xdr:rowOff>
    </xdr:from>
    <xdr:to>
      <xdr:col>13</xdr:col>
      <xdr:colOff>259080</xdr:colOff>
      <xdr:row>22</xdr:row>
      <xdr:rowOff>22860</xdr:rowOff>
    </xdr:to>
    <xdr:graphicFrame macro="">
      <xdr:nvGraphicFramePr>
        <xdr:cNvPr id="15" name="Chart 14">
          <a:extLst>
            <a:ext uri="{FF2B5EF4-FFF2-40B4-BE49-F238E27FC236}">
              <a16:creationId xmlns:a16="http://schemas.microsoft.com/office/drawing/2014/main" id="{536C40E1-FB3D-4A1D-86EF-65AB94F6D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5</xdr:col>
      <xdr:colOff>99060</xdr:colOff>
      <xdr:row>3</xdr:row>
      <xdr:rowOff>167640</xdr:rowOff>
    </xdr:from>
    <xdr:to>
      <xdr:col>21</xdr:col>
      <xdr:colOff>586740</xdr:colOff>
      <xdr:row>6</xdr:row>
      <xdr:rowOff>57912</xdr:rowOff>
    </xdr:to>
    <mc:AlternateContent xmlns:mc="http://schemas.openxmlformats.org/markup-compatibility/2006" xmlns:a14="http://schemas.microsoft.com/office/drawing/2010/main">
      <mc:Choice Requires="a14">
        <xdr:graphicFrame macro="">
          <xdr:nvGraphicFramePr>
            <xdr:cNvPr id="17" name="شهر الطلب">
              <a:extLst>
                <a:ext uri="{FF2B5EF4-FFF2-40B4-BE49-F238E27FC236}">
                  <a16:creationId xmlns:a16="http://schemas.microsoft.com/office/drawing/2014/main" id="{4314BD02-B320-4E02-BABE-7B59D4EF820A}"/>
                </a:ext>
              </a:extLst>
            </xdr:cNvPr>
            <xdr:cNvGraphicFramePr/>
          </xdr:nvGraphicFramePr>
          <xdr:xfrm>
            <a:off x="0" y="0"/>
            <a:ext cx="0" cy="0"/>
          </xdr:xfrm>
          <a:graphic>
            <a:graphicData uri="http://schemas.microsoft.com/office/drawing/2010/slicer">
              <sle:slicer xmlns:sle="http://schemas.microsoft.com/office/drawing/2010/slicer" name="شهر الطلب"/>
            </a:graphicData>
          </a:graphic>
        </xdr:graphicFrame>
      </mc:Choice>
      <mc:Fallback xmlns="">
        <xdr:sp macro="" textlink="">
          <xdr:nvSpPr>
            <xdr:cNvPr id="0" name=""/>
            <xdr:cNvSpPr>
              <a:spLocks noTextEdit="1"/>
            </xdr:cNvSpPr>
          </xdr:nvSpPr>
          <xdr:spPr>
            <a:xfrm>
              <a:off x="3147060" y="716280"/>
              <a:ext cx="10241280" cy="438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243840</xdr:colOff>
      <xdr:row>3</xdr:row>
      <xdr:rowOff>160020</xdr:rowOff>
    </xdr:from>
    <xdr:to>
      <xdr:col>5</xdr:col>
      <xdr:colOff>68580</xdr:colOff>
      <xdr:row>6</xdr:row>
      <xdr:rowOff>45720</xdr:rowOff>
    </xdr:to>
    <xdr:pic>
      <xdr:nvPicPr>
        <xdr:cNvPr id="19" name="Picture 18">
          <a:extLst>
            <a:ext uri="{FF2B5EF4-FFF2-40B4-BE49-F238E27FC236}">
              <a16:creationId xmlns:a16="http://schemas.microsoft.com/office/drawing/2014/main" id="{24AFDDE9-8C4E-02F4-E086-03FBF986383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682240" y="708660"/>
          <a:ext cx="434340" cy="434340"/>
        </a:xfrm>
        <a:prstGeom prst="rect">
          <a:avLst/>
        </a:prstGeom>
      </xdr:spPr>
    </xdr:pic>
    <xdr:clientData/>
  </xdr:twoCellAnchor>
  <xdr:twoCellAnchor editAs="oneCell">
    <xdr:from>
      <xdr:col>8</xdr:col>
      <xdr:colOff>381001</xdr:colOff>
      <xdr:row>9</xdr:row>
      <xdr:rowOff>129541</xdr:rowOff>
    </xdr:from>
    <xdr:to>
      <xdr:col>9</xdr:col>
      <xdr:colOff>121920</xdr:colOff>
      <xdr:row>11</xdr:row>
      <xdr:rowOff>114300</xdr:rowOff>
    </xdr:to>
    <xdr:pic>
      <xdr:nvPicPr>
        <xdr:cNvPr id="21" name="Picture 20">
          <a:extLst>
            <a:ext uri="{FF2B5EF4-FFF2-40B4-BE49-F238E27FC236}">
              <a16:creationId xmlns:a16="http://schemas.microsoft.com/office/drawing/2014/main" id="{8B02B454-36E0-2FE8-0F73-C50B97FF205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257801" y="1775461"/>
          <a:ext cx="350519" cy="350519"/>
        </a:xfrm>
        <a:prstGeom prst="rect">
          <a:avLst/>
        </a:prstGeom>
      </xdr:spPr>
    </xdr:pic>
    <xdr:clientData/>
  </xdr:twoCellAnchor>
  <xdr:twoCellAnchor editAs="oneCell">
    <xdr:from>
      <xdr:col>11</xdr:col>
      <xdr:colOff>530352</xdr:colOff>
      <xdr:row>24</xdr:row>
      <xdr:rowOff>121920</xdr:rowOff>
    </xdr:from>
    <xdr:to>
      <xdr:col>12</xdr:col>
      <xdr:colOff>202692</xdr:colOff>
      <xdr:row>26</xdr:row>
      <xdr:rowOff>38100</xdr:rowOff>
    </xdr:to>
    <xdr:pic>
      <xdr:nvPicPr>
        <xdr:cNvPr id="23" name="Picture 22">
          <a:extLst>
            <a:ext uri="{FF2B5EF4-FFF2-40B4-BE49-F238E27FC236}">
              <a16:creationId xmlns:a16="http://schemas.microsoft.com/office/drawing/2014/main" id="{C3311642-8211-9BD7-D6B7-B85643F40FF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235952" y="4511040"/>
          <a:ext cx="281940" cy="281940"/>
        </a:xfrm>
        <a:prstGeom prst="rect">
          <a:avLst/>
        </a:prstGeom>
      </xdr:spPr>
    </xdr:pic>
    <xdr:clientData/>
  </xdr:twoCellAnchor>
  <xdr:twoCellAnchor>
    <xdr:from>
      <xdr:col>22</xdr:col>
      <xdr:colOff>0</xdr:colOff>
      <xdr:row>25</xdr:row>
      <xdr:rowOff>22860</xdr:rowOff>
    </xdr:from>
    <xdr:to>
      <xdr:col>23</xdr:col>
      <xdr:colOff>190500</xdr:colOff>
      <xdr:row>27</xdr:row>
      <xdr:rowOff>0</xdr:rowOff>
    </xdr:to>
    <xdr:sp macro="" textlink="'ask-question'!N39">
      <xdr:nvSpPr>
        <xdr:cNvPr id="29" name="TextBox 28">
          <a:extLst>
            <a:ext uri="{FF2B5EF4-FFF2-40B4-BE49-F238E27FC236}">
              <a16:creationId xmlns:a16="http://schemas.microsoft.com/office/drawing/2014/main" id="{D44C7982-6A6D-DBBD-26CD-A53DA36B8DF8}"/>
            </a:ext>
          </a:extLst>
        </xdr:cNvPr>
        <xdr:cNvSpPr txBox="1"/>
      </xdr:nvSpPr>
      <xdr:spPr>
        <a:xfrm>
          <a:off x="13411200" y="4594860"/>
          <a:ext cx="8001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08EB20-7090-4679-A295-287797CA9299}" type="TxLink">
            <a:rPr lang="en-US" sz="1400" b="0" i="0" u="none" strike="noStrike">
              <a:ln>
                <a:solidFill>
                  <a:schemeClr val="bg1"/>
                </a:solidFill>
              </a:ln>
              <a:solidFill>
                <a:schemeClr val="tx2">
                  <a:lumMod val="25000"/>
                  <a:lumOff val="75000"/>
                </a:schemeClr>
              </a:solidFill>
              <a:latin typeface="Aptos Narrow"/>
            </a:rPr>
            <a:pPr/>
            <a:t>137</a:t>
          </a:fld>
          <a:endParaRPr lang="en-US" sz="1800">
            <a:ln>
              <a:solidFill>
                <a:schemeClr val="bg1"/>
              </a:solidFill>
            </a:ln>
            <a:solidFill>
              <a:schemeClr val="tx2">
                <a:lumMod val="25000"/>
                <a:lumOff val="75000"/>
              </a:schemeClr>
            </a:solidFill>
          </a:endParaRPr>
        </a:p>
      </xdr:txBody>
    </xdr:sp>
    <xdr:clientData/>
  </xdr:twoCellAnchor>
  <xdr:twoCellAnchor>
    <xdr:from>
      <xdr:col>21</xdr:col>
      <xdr:colOff>601980</xdr:colOff>
      <xdr:row>22</xdr:row>
      <xdr:rowOff>152400</xdr:rowOff>
    </xdr:from>
    <xdr:to>
      <xdr:col>23</xdr:col>
      <xdr:colOff>182880</xdr:colOff>
      <xdr:row>24</xdr:row>
      <xdr:rowOff>129540</xdr:rowOff>
    </xdr:to>
    <xdr:sp macro="" textlink="'ask-question'!G13">
      <xdr:nvSpPr>
        <xdr:cNvPr id="30" name="TextBox 29">
          <a:extLst>
            <a:ext uri="{FF2B5EF4-FFF2-40B4-BE49-F238E27FC236}">
              <a16:creationId xmlns:a16="http://schemas.microsoft.com/office/drawing/2014/main" id="{88980DB9-EDC3-18AE-EBA7-8DAFCF6A1124}"/>
            </a:ext>
          </a:extLst>
        </xdr:cNvPr>
        <xdr:cNvSpPr txBox="1"/>
      </xdr:nvSpPr>
      <xdr:spPr>
        <a:xfrm>
          <a:off x="13403580" y="4175760"/>
          <a:ext cx="8001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33F3EB-3117-49D5-AF8D-C520F6978DC7}" type="TxLink">
            <a:rPr lang="en-US" sz="1400" b="0" i="0" u="none" strike="noStrike">
              <a:ln>
                <a:solidFill>
                  <a:schemeClr val="bg1"/>
                </a:solidFill>
              </a:ln>
              <a:solidFill>
                <a:schemeClr val="tx2">
                  <a:lumMod val="25000"/>
                  <a:lumOff val="75000"/>
                </a:schemeClr>
              </a:solidFill>
              <a:latin typeface="Aptos Narrow"/>
            </a:rPr>
            <a:pPr/>
            <a:t>118</a:t>
          </a:fld>
          <a:endParaRPr lang="en-US" sz="1800">
            <a:ln>
              <a:solidFill>
                <a:schemeClr val="bg1"/>
              </a:solidFill>
            </a:ln>
            <a:solidFill>
              <a:schemeClr val="tx2">
                <a:lumMod val="25000"/>
                <a:lumOff val="75000"/>
              </a:schemeClr>
            </a:solidFill>
          </a:endParaRPr>
        </a:p>
      </xdr:txBody>
    </xdr:sp>
    <xdr:clientData/>
  </xdr:twoCellAnchor>
  <xdr:twoCellAnchor editAs="oneCell">
    <xdr:from>
      <xdr:col>19</xdr:col>
      <xdr:colOff>182880</xdr:colOff>
      <xdr:row>23</xdr:row>
      <xdr:rowOff>45720</xdr:rowOff>
    </xdr:from>
    <xdr:to>
      <xdr:col>19</xdr:col>
      <xdr:colOff>426110</xdr:colOff>
      <xdr:row>24</xdr:row>
      <xdr:rowOff>106070</xdr:rowOff>
    </xdr:to>
    <xdr:pic>
      <xdr:nvPicPr>
        <xdr:cNvPr id="35" name="Picture 34">
          <a:extLst>
            <a:ext uri="{FF2B5EF4-FFF2-40B4-BE49-F238E27FC236}">
              <a16:creationId xmlns:a16="http://schemas.microsoft.com/office/drawing/2014/main" id="{834522AD-C0B4-6D4B-3C85-66D5EE233C8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765280" y="4251960"/>
          <a:ext cx="243230" cy="243230"/>
        </a:xfrm>
        <a:prstGeom prst="rect">
          <a:avLst/>
        </a:prstGeom>
      </xdr:spPr>
    </xdr:pic>
    <xdr:clientData/>
  </xdr:twoCellAnchor>
  <xdr:twoCellAnchor editAs="oneCell">
    <xdr:from>
      <xdr:col>19</xdr:col>
      <xdr:colOff>160021</xdr:colOff>
      <xdr:row>25</xdr:row>
      <xdr:rowOff>38101</xdr:rowOff>
    </xdr:from>
    <xdr:to>
      <xdr:col>19</xdr:col>
      <xdr:colOff>426720</xdr:colOff>
      <xdr:row>26</xdr:row>
      <xdr:rowOff>121920</xdr:rowOff>
    </xdr:to>
    <xdr:pic>
      <xdr:nvPicPr>
        <xdr:cNvPr id="47" name="Picture 46">
          <a:extLst>
            <a:ext uri="{FF2B5EF4-FFF2-40B4-BE49-F238E27FC236}">
              <a16:creationId xmlns:a16="http://schemas.microsoft.com/office/drawing/2014/main" id="{D55B9059-A3B0-948E-2CE9-15C91350ADC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1742421" y="4610101"/>
          <a:ext cx="266699" cy="266699"/>
        </a:xfrm>
        <a:prstGeom prst="rect">
          <a:avLst/>
        </a:prstGeom>
      </xdr:spPr>
    </xdr:pic>
    <xdr:clientData/>
  </xdr:twoCellAnchor>
  <xdr:twoCellAnchor>
    <xdr:from>
      <xdr:col>19</xdr:col>
      <xdr:colOff>449580</xdr:colOff>
      <xdr:row>27</xdr:row>
      <xdr:rowOff>121920</xdr:rowOff>
    </xdr:from>
    <xdr:to>
      <xdr:col>21</xdr:col>
      <xdr:colOff>403860</xdr:colOff>
      <xdr:row>29</xdr:row>
      <xdr:rowOff>99060</xdr:rowOff>
    </xdr:to>
    <xdr:sp macro="" textlink="'ask-question'!G13">
      <xdr:nvSpPr>
        <xdr:cNvPr id="50" name="TextBox 49">
          <a:extLst>
            <a:ext uri="{FF2B5EF4-FFF2-40B4-BE49-F238E27FC236}">
              <a16:creationId xmlns:a16="http://schemas.microsoft.com/office/drawing/2014/main" id="{AB5E5CB5-B085-55F3-023D-BA5A0263FF84}"/>
            </a:ext>
          </a:extLst>
        </xdr:cNvPr>
        <xdr:cNvSpPr txBox="1"/>
      </xdr:nvSpPr>
      <xdr:spPr>
        <a:xfrm>
          <a:off x="12031980" y="505968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Sold Units</a:t>
          </a:r>
          <a:endParaRPr lang="en-US" sz="1200">
            <a:solidFill>
              <a:schemeClr val="tx2">
                <a:lumMod val="25000"/>
                <a:lumOff val="75000"/>
              </a:schemeClr>
            </a:solidFill>
          </a:endParaRPr>
        </a:p>
      </xdr:txBody>
    </xdr:sp>
    <xdr:clientData/>
  </xdr:twoCellAnchor>
  <xdr:twoCellAnchor>
    <xdr:from>
      <xdr:col>21</xdr:col>
      <xdr:colOff>594360</xdr:colOff>
      <xdr:row>27</xdr:row>
      <xdr:rowOff>121920</xdr:rowOff>
    </xdr:from>
    <xdr:to>
      <xdr:col>23</xdr:col>
      <xdr:colOff>175260</xdr:colOff>
      <xdr:row>29</xdr:row>
      <xdr:rowOff>99060</xdr:rowOff>
    </xdr:to>
    <xdr:sp macro="" textlink="'ask-question'!O39">
      <xdr:nvSpPr>
        <xdr:cNvPr id="52" name="TextBox 51">
          <a:extLst>
            <a:ext uri="{FF2B5EF4-FFF2-40B4-BE49-F238E27FC236}">
              <a16:creationId xmlns:a16="http://schemas.microsoft.com/office/drawing/2014/main" id="{7B7783EC-710D-741A-72FC-0B6D58F4E4DD}"/>
            </a:ext>
          </a:extLst>
        </xdr:cNvPr>
        <xdr:cNvSpPr txBox="1"/>
      </xdr:nvSpPr>
      <xdr:spPr>
        <a:xfrm>
          <a:off x="13395960" y="5059680"/>
          <a:ext cx="8001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8FB00F7-E007-46C4-8F59-8F7F858036B1}" type="TxLink">
            <a:rPr lang="en-US" sz="1400" b="0" i="0" u="none" strike="noStrike">
              <a:ln>
                <a:solidFill>
                  <a:schemeClr val="bg1"/>
                </a:solidFill>
              </a:ln>
              <a:solidFill>
                <a:schemeClr val="tx2">
                  <a:lumMod val="25000"/>
                  <a:lumOff val="75000"/>
                </a:schemeClr>
              </a:solidFill>
              <a:latin typeface="Aptos Narrow"/>
            </a:rPr>
            <a:pPr/>
            <a:t>118</a:t>
          </a:fld>
          <a:endParaRPr lang="en-US" sz="2400">
            <a:ln>
              <a:solidFill>
                <a:schemeClr val="bg1"/>
              </a:solidFill>
            </a:ln>
            <a:solidFill>
              <a:schemeClr val="tx2">
                <a:lumMod val="25000"/>
                <a:lumOff val="75000"/>
              </a:schemeClr>
            </a:solidFill>
          </a:endParaRPr>
        </a:p>
      </xdr:txBody>
    </xdr:sp>
    <xdr:clientData/>
  </xdr:twoCellAnchor>
  <xdr:twoCellAnchor editAs="oneCell">
    <xdr:from>
      <xdr:col>19</xdr:col>
      <xdr:colOff>137160</xdr:colOff>
      <xdr:row>27</xdr:row>
      <xdr:rowOff>91440</xdr:rowOff>
    </xdr:from>
    <xdr:to>
      <xdr:col>19</xdr:col>
      <xdr:colOff>457200</xdr:colOff>
      <xdr:row>29</xdr:row>
      <xdr:rowOff>45720</xdr:rowOff>
    </xdr:to>
    <xdr:pic>
      <xdr:nvPicPr>
        <xdr:cNvPr id="58" name="Picture 57">
          <a:extLst>
            <a:ext uri="{FF2B5EF4-FFF2-40B4-BE49-F238E27FC236}">
              <a16:creationId xmlns:a16="http://schemas.microsoft.com/office/drawing/2014/main" id="{960C567C-0EA3-C36F-2882-3BD26091358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1719560" y="5029200"/>
          <a:ext cx="320040" cy="320040"/>
        </a:xfrm>
        <a:prstGeom prst="rect">
          <a:avLst/>
        </a:prstGeom>
      </xdr:spPr>
    </xdr:pic>
    <xdr:clientData/>
  </xdr:twoCellAnchor>
  <xdr:twoCellAnchor>
    <xdr:from>
      <xdr:col>19</xdr:col>
      <xdr:colOff>449580</xdr:colOff>
      <xdr:row>29</xdr:row>
      <xdr:rowOff>167640</xdr:rowOff>
    </xdr:from>
    <xdr:to>
      <xdr:col>21</xdr:col>
      <xdr:colOff>403860</xdr:colOff>
      <xdr:row>31</xdr:row>
      <xdr:rowOff>144780</xdr:rowOff>
    </xdr:to>
    <xdr:sp macro="" textlink="'ask-question'!G13">
      <xdr:nvSpPr>
        <xdr:cNvPr id="59" name="TextBox 58">
          <a:extLst>
            <a:ext uri="{FF2B5EF4-FFF2-40B4-BE49-F238E27FC236}">
              <a16:creationId xmlns:a16="http://schemas.microsoft.com/office/drawing/2014/main" id="{D286E576-A28A-CDEF-AF56-5FDBF6FAC994}"/>
            </a:ext>
          </a:extLst>
        </xdr:cNvPr>
        <xdr:cNvSpPr txBox="1"/>
      </xdr:nvSpPr>
      <xdr:spPr>
        <a:xfrm>
          <a:off x="12031980" y="547116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UnSold Units</a:t>
          </a:r>
          <a:endParaRPr lang="en-US" sz="1200">
            <a:solidFill>
              <a:schemeClr val="tx2">
                <a:lumMod val="25000"/>
                <a:lumOff val="75000"/>
              </a:schemeClr>
            </a:solidFill>
          </a:endParaRPr>
        </a:p>
      </xdr:txBody>
    </xdr:sp>
    <xdr:clientData/>
  </xdr:twoCellAnchor>
  <xdr:twoCellAnchor editAs="oneCell">
    <xdr:from>
      <xdr:col>19</xdr:col>
      <xdr:colOff>129540</xdr:colOff>
      <xdr:row>29</xdr:row>
      <xdr:rowOff>152400</xdr:rowOff>
    </xdr:from>
    <xdr:to>
      <xdr:col>19</xdr:col>
      <xdr:colOff>449580</xdr:colOff>
      <xdr:row>31</xdr:row>
      <xdr:rowOff>106680</xdr:rowOff>
    </xdr:to>
    <xdr:pic>
      <xdr:nvPicPr>
        <xdr:cNvPr id="61" name="Picture 60">
          <a:extLst>
            <a:ext uri="{FF2B5EF4-FFF2-40B4-BE49-F238E27FC236}">
              <a16:creationId xmlns:a16="http://schemas.microsoft.com/office/drawing/2014/main" id="{F52C06C1-CE75-708F-2F1B-7027A2127A9F}"/>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3809" b="96191" l="4102" r="95508">
                      <a14:foregroundMark x1="29883" y1="8887" x2="57031" y2="10840"/>
                      <a14:foregroundMark x1="40332" y1="6055" x2="53320" y2="5176"/>
                      <a14:foregroundMark x1="42676" y1="4688" x2="42676" y2="4688"/>
                      <a14:foregroundMark x1="56152" y1="3809" x2="56152" y2="3809"/>
                      <a14:foregroundMark x1="91602" y1="39063" x2="94238" y2="61133"/>
                      <a14:foregroundMark x1="94238" y1="61133" x2="93945" y2="61133"/>
                      <a14:foregroundMark x1="95117" y1="49902" x2="95508" y2="53125"/>
                      <a14:foregroundMark x1="8301" y1="39746" x2="8301" y2="61523"/>
                      <a14:foregroundMark x1="8301" y1="61523" x2="8691" y2="62988"/>
                      <a14:foregroundMark x1="4980" y1="38867" x2="4980" y2="38867"/>
                      <a14:foregroundMark x1="4199" y1="50391" x2="4199" y2="50391"/>
                      <a14:foregroundMark x1="33301" y1="91895" x2="61328" y2="90918"/>
                      <a14:foregroundMark x1="55762" y1="96191" x2="55762" y2="96191"/>
                    </a14:backgroundRemoval>
                  </a14:imgEffect>
                </a14:imgLayer>
              </a14:imgProps>
            </a:ext>
            <a:ext uri="{28A0092B-C50C-407E-A947-70E740481C1C}">
              <a14:useLocalDpi xmlns:a14="http://schemas.microsoft.com/office/drawing/2010/main" val="0"/>
            </a:ext>
          </a:extLst>
        </a:blip>
        <a:stretch>
          <a:fillRect/>
        </a:stretch>
      </xdr:blipFill>
      <xdr:spPr>
        <a:xfrm>
          <a:off x="11711940" y="5455920"/>
          <a:ext cx="320040" cy="320040"/>
        </a:xfrm>
        <a:prstGeom prst="rect">
          <a:avLst/>
        </a:prstGeom>
      </xdr:spPr>
    </xdr:pic>
    <xdr:clientData/>
  </xdr:twoCellAnchor>
  <xdr:twoCellAnchor>
    <xdr:from>
      <xdr:col>22</xdr:col>
      <xdr:colOff>15240</xdr:colOff>
      <xdr:row>29</xdr:row>
      <xdr:rowOff>175260</xdr:rowOff>
    </xdr:from>
    <xdr:to>
      <xdr:col>23</xdr:col>
      <xdr:colOff>205740</xdr:colOff>
      <xdr:row>31</xdr:row>
      <xdr:rowOff>152400</xdr:rowOff>
    </xdr:to>
    <xdr:sp macro="" textlink="'ask-question'!Q39">
      <xdr:nvSpPr>
        <xdr:cNvPr id="62" name="TextBox 61">
          <a:extLst>
            <a:ext uri="{FF2B5EF4-FFF2-40B4-BE49-F238E27FC236}">
              <a16:creationId xmlns:a16="http://schemas.microsoft.com/office/drawing/2014/main" id="{00A2453B-15E7-6EEC-63CE-AA2C2793C7A5}"/>
            </a:ext>
          </a:extLst>
        </xdr:cNvPr>
        <xdr:cNvSpPr txBox="1"/>
      </xdr:nvSpPr>
      <xdr:spPr>
        <a:xfrm>
          <a:off x="13426440" y="5478780"/>
          <a:ext cx="8001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424D6C-5429-4CEA-B3FF-9D01A4768512}" type="TxLink">
            <a:rPr lang="en-US" sz="1400" b="0" i="0" u="none" strike="noStrike">
              <a:ln>
                <a:solidFill>
                  <a:schemeClr val="bg1"/>
                </a:solidFill>
              </a:ln>
              <a:solidFill>
                <a:schemeClr val="tx2">
                  <a:lumMod val="25000"/>
                  <a:lumOff val="75000"/>
                </a:schemeClr>
              </a:solidFill>
              <a:latin typeface="Aptos Narrow"/>
            </a:rPr>
            <a:pPr/>
            <a:t>19</a:t>
          </a:fld>
          <a:endParaRPr lang="en-US" sz="3200">
            <a:ln>
              <a:solidFill>
                <a:schemeClr val="bg1"/>
              </a:solidFill>
            </a:ln>
            <a:solidFill>
              <a:schemeClr val="tx2">
                <a:lumMod val="25000"/>
                <a:lumOff val="75000"/>
              </a:schemeClr>
            </a:solidFill>
          </a:endParaRPr>
        </a:p>
      </xdr:txBody>
    </xdr:sp>
    <xdr:clientData/>
  </xdr:twoCellAnchor>
  <xdr:twoCellAnchor>
    <xdr:from>
      <xdr:col>19</xdr:col>
      <xdr:colOff>441960</xdr:colOff>
      <xdr:row>32</xdr:row>
      <xdr:rowOff>53340</xdr:rowOff>
    </xdr:from>
    <xdr:to>
      <xdr:col>21</xdr:col>
      <xdr:colOff>396240</xdr:colOff>
      <xdr:row>34</xdr:row>
      <xdr:rowOff>30480</xdr:rowOff>
    </xdr:to>
    <xdr:sp macro="" textlink="'ask-question'!G13">
      <xdr:nvSpPr>
        <xdr:cNvPr id="63" name="TextBox 62">
          <a:extLst>
            <a:ext uri="{FF2B5EF4-FFF2-40B4-BE49-F238E27FC236}">
              <a16:creationId xmlns:a16="http://schemas.microsoft.com/office/drawing/2014/main" id="{527693A5-C0CD-D225-B4F4-F36EC9F7C686}"/>
            </a:ext>
          </a:extLst>
        </xdr:cNvPr>
        <xdr:cNvSpPr txBox="1"/>
      </xdr:nvSpPr>
      <xdr:spPr>
        <a:xfrm>
          <a:off x="12024360" y="590550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Avg Sales</a:t>
          </a:r>
          <a:endParaRPr lang="en-US" sz="1200">
            <a:solidFill>
              <a:schemeClr val="tx2">
                <a:lumMod val="25000"/>
                <a:lumOff val="75000"/>
              </a:schemeClr>
            </a:solidFill>
          </a:endParaRPr>
        </a:p>
      </xdr:txBody>
    </xdr:sp>
    <xdr:clientData/>
  </xdr:twoCellAnchor>
  <xdr:twoCellAnchor editAs="oneCell">
    <xdr:from>
      <xdr:col>19</xdr:col>
      <xdr:colOff>128930</xdr:colOff>
      <xdr:row>32</xdr:row>
      <xdr:rowOff>30480</xdr:rowOff>
    </xdr:from>
    <xdr:to>
      <xdr:col>19</xdr:col>
      <xdr:colOff>441350</xdr:colOff>
      <xdr:row>33</xdr:row>
      <xdr:rowOff>160020</xdr:rowOff>
    </xdr:to>
    <xdr:pic>
      <xdr:nvPicPr>
        <xdr:cNvPr id="64" name="Picture 63">
          <a:extLst>
            <a:ext uri="{FF2B5EF4-FFF2-40B4-BE49-F238E27FC236}">
              <a16:creationId xmlns:a16="http://schemas.microsoft.com/office/drawing/2014/main" id="{AC208777-0E16-46CE-A8F0-388448A172A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1711330" y="5882640"/>
          <a:ext cx="312420" cy="312420"/>
        </a:xfrm>
        <a:prstGeom prst="rect">
          <a:avLst/>
        </a:prstGeom>
      </xdr:spPr>
    </xdr:pic>
    <xdr:clientData/>
  </xdr:twoCellAnchor>
  <xdr:twoCellAnchor>
    <xdr:from>
      <xdr:col>21</xdr:col>
      <xdr:colOff>396240</xdr:colOff>
      <xdr:row>32</xdr:row>
      <xdr:rowOff>53340</xdr:rowOff>
    </xdr:from>
    <xdr:to>
      <xdr:col>23</xdr:col>
      <xdr:colOff>38100</xdr:colOff>
      <xdr:row>34</xdr:row>
      <xdr:rowOff>30480</xdr:rowOff>
    </xdr:to>
    <xdr:sp macro="" textlink="'ask-question'!K13">
      <xdr:nvSpPr>
        <xdr:cNvPr id="65" name="TextBox 64">
          <a:extLst>
            <a:ext uri="{FF2B5EF4-FFF2-40B4-BE49-F238E27FC236}">
              <a16:creationId xmlns:a16="http://schemas.microsoft.com/office/drawing/2014/main" id="{D9380DC9-DB7E-B284-47F5-C56437F6F4C8}"/>
            </a:ext>
          </a:extLst>
        </xdr:cNvPr>
        <xdr:cNvSpPr txBox="1"/>
      </xdr:nvSpPr>
      <xdr:spPr>
        <a:xfrm>
          <a:off x="13197840" y="5905500"/>
          <a:ext cx="86106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35A13A-9447-4406-AD5A-CCC8CBAEE156}" type="TxLink">
            <a:rPr lang="en-US" sz="1400" b="0" i="0" u="none" strike="noStrike">
              <a:ln>
                <a:solidFill>
                  <a:schemeClr val="bg1"/>
                </a:solidFill>
              </a:ln>
              <a:solidFill>
                <a:schemeClr val="tx2">
                  <a:lumMod val="25000"/>
                  <a:lumOff val="75000"/>
                </a:schemeClr>
              </a:solidFill>
              <a:latin typeface="Aptos Narrow"/>
            </a:rPr>
            <a:pPr/>
            <a:t> $10,404 </a:t>
          </a:fld>
          <a:endParaRPr lang="en-US" sz="4000">
            <a:ln>
              <a:solidFill>
                <a:schemeClr val="bg1"/>
              </a:solidFill>
            </a:ln>
            <a:solidFill>
              <a:schemeClr val="tx2">
                <a:lumMod val="25000"/>
                <a:lumOff val="75000"/>
              </a:schemeClr>
            </a:solidFill>
          </a:endParaRPr>
        </a:p>
      </xdr:txBody>
    </xdr:sp>
    <xdr:clientData/>
  </xdr:twoCellAnchor>
  <xdr:twoCellAnchor editAs="oneCell">
    <xdr:from>
      <xdr:col>19</xdr:col>
      <xdr:colOff>152401</xdr:colOff>
      <xdr:row>34</xdr:row>
      <xdr:rowOff>76201</xdr:rowOff>
    </xdr:from>
    <xdr:to>
      <xdr:col>19</xdr:col>
      <xdr:colOff>464820</xdr:colOff>
      <xdr:row>36</xdr:row>
      <xdr:rowOff>22860</xdr:rowOff>
    </xdr:to>
    <xdr:pic>
      <xdr:nvPicPr>
        <xdr:cNvPr id="67" name="Picture 66">
          <a:extLst>
            <a:ext uri="{FF2B5EF4-FFF2-40B4-BE49-F238E27FC236}">
              <a16:creationId xmlns:a16="http://schemas.microsoft.com/office/drawing/2014/main" id="{B71B4D05-9424-F515-FC81-71462791C37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1734801" y="6294121"/>
          <a:ext cx="312419" cy="312419"/>
        </a:xfrm>
        <a:prstGeom prst="rect">
          <a:avLst/>
        </a:prstGeom>
      </xdr:spPr>
    </xdr:pic>
    <xdr:clientData/>
  </xdr:twoCellAnchor>
  <xdr:twoCellAnchor>
    <xdr:from>
      <xdr:col>21</xdr:col>
      <xdr:colOff>297180</xdr:colOff>
      <xdr:row>34</xdr:row>
      <xdr:rowOff>53340</xdr:rowOff>
    </xdr:from>
    <xdr:to>
      <xdr:col>23</xdr:col>
      <xdr:colOff>121920</xdr:colOff>
      <xdr:row>36</xdr:row>
      <xdr:rowOff>30480</xdr:rowOff>
    </xdr:to>
    <xdr:sp macro="" textlink="'ask-question'!P39">
      <xdr:nvSpPr>
        <xdr:cNvPr id="69" name="TextBox 68">
          <a:extLst>
            <a:ext uri="{FF2B5EF4-FFF2-40B4-BE49-F238E27FC236}">
              <a16:creationId xmlns:a16="http://schemas.microsoft.com/office/drawing/2014/main" id="{73AA0758-2659-CE04-0A65-1EF3EB589661}"/>
            </a:ext>
          </a:extLst>
        </xdr:cNvPr>
        <xdr:cNvSpPr txBox="1"/>
      </xdr:nvSpPr>
      <xdr:spPr>
        <a:xfrm>
          <a:off x="13098780" y="6271260"/>
          <a:ext cx="10439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F34DBA-9F40-44E9-8340-1EB3B8ED7BD5}" type="TxLink">
            <a:rPr lang="en-US" sz="1400" b="0" i="0" u="none" strike="noStrike">
              <a:ln>
                <a:solidFill>
                  <a:schemeClr val="bg1"/>
                </a:solidFill>
              </a:ln>
              <a:solidFill>
                <a:schemeClr val="tx2">
                  <a:lumMod val="25000"/>
                  <a:lumOff val="75000"/>
                </a:schemeClr>
              </a:solidFill>
              <a:latin typeface="Aptos Narrow"/>
            </a:rPr>
            <a:pPr/>
            <a:t> $1,163,380 </a:t>
          </a:fld>
          <a:endParaRPr lang="en-US" sz="4400">
            <a:ln>
              <a:solidFill>
                <a:schemeClr val="bg1"/>
              </a:solidFill>
            </a:ln>
            <a:solidFill>
              <a:schemeClr val="tx2">
                <a:lumMod val="25000"/>
                <a:lumOff val="75000"/>
              </a:schemeClr>
            </a:solidFill>
          </a:endParaRPr>
        </a:p>
      </xdr:txBody>
    </xdr:sp>
    <xdr:clientData/>
  </xdr:twoCellAnchor>
  <xdr:twoCellAnchor editAs="oneCell">
    <xdr:from>
      <xdr:col>19</xdr:col>
      <xdr:colOff>160021</xdr:colOff>
      <xdr:row>36</xdr:row>
      <xdr:rowOff>114301</xdr:rowOff>
    </xdr:from>
    <xdr:to>
      <xdr:col>19</xdr:col>
      <xdr:colOff>487680</xdr:colOff>
      <xdr:row>38</xdr:row>
      <xdr:rowOff>76200</xdr:rowOff>
    </xdr:to>
    <xdr:pic>
      <xdr:nvPicPr>
        <xdr:cNvPr id="72" name="Picture 71">
          <a:extLst>
            <a:ext uri="{FF2B5EF4-FFF2-40B4-BE49-F238E27FC236}">
              <a16:creationId xmlns:a16="http://schemas.microsoft.com/office/drawing/2014/main" id="{F0CDABCA-4D00-E53D-B82E-A61AB291257A}"/>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1742421" y="6697981"/>
          <a:ext cx="327659" cy="327659"/>
        </a:xfrm>
        <a:prstGeom prst="rect">
          <a:avLst/>
        </a:prstGeom>
      </xdr:spPr>
    </xdr:pic>
    <xdr:clientData/>
  </xdr:twoCellAnchor>
  <xdr:twoCellAnchor>
    <xdr:from>
      <xdr:col>21</xdr:col>
      <xdr:colOff>373380</xdr:colOff>
      <xdr:row>36</xdr:row>
      <xdr:rowOff>91440</xdr:rowOff>
    </xdr:from>
    <xdr:to>
      <xdr:col>23</xdr:col>
      <xdr:colOff>83820</xdr:colOff>
      <xdr:row>38</xdr:row>
      <xdr:rowOff>68580</xdr:rowOff>
    </xdr:to>
    <xdr:sp macro="" textlink="'ask-question'!R39">
      <xdr:nvSpPr>
        <xdr:cNvPr id="73" name="TextBox 72">
          <a:extLst>
            <a:ext uri="{FF2B5EF4-FFF2-40B4-BE49-F238E27FC236}">
              <a16:creationId xmlns:a16="http://schemas.microsoft.com/office/drawing/2014/main" id="{97EC95CF-0914-EF90-944F-8745240EAF6D}"/>
            </a:ext>
          </a:extLst>
        </xdr:cNvPr>
        <xdr:cNvSpPr txBox="1"/>
      </xdr:nvSpPr>
      <xdr:spPr>
        <a:xfrm>
          <a:off x="13174980" y="6675120"/>
          <a:ext cx="9296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1009B7-7F80-4DC3-80E9-9CAA985D59C0}" type="TxLink">
            <a:rPr lang="en-US" sz="1400" b="0" i="0" u="none" strike="noStrike">
              <a:ln>
                <a:solidFill>
                  <a:schemeClr val="bg1"/>
                </a:solidFill>
              </a:ln>
              <a:solidFill>
                <a:schemeClr val="tx2">
                  <a:lumMod val="25000"/>
                  <a:lumOff val="75000"/>
                </a:schemeClr>
              </a:solidFill>
              <a:latin typeface="Aptos Narrow"/>
            </a:rPr>
            <a:pPr/>
            <a:t> $218,529 </a:t>
          </a:fld>
          <a:endParaRPr lang="en-US" sz="4400">
            <a:ln>
              <a:solidFill>
                <a:schemeClr val="bg1"/>
              </a:solidFill>
            </a:ln>
            <a:solidFill>
              <a:schemeClr val="tx2">
                <a:lumMod val="25000"/>
                <a:lumOff val="75000"/>
              </a:schemeClr>
            </a:solidFill>
          </a:endParaRPr>
        </a:p>
      </xdr:txBody>
    </xdr:sp>
    <xdr:clientData/>
  </xdr:twoCellAnchor>
  <xdr:twoCellAnchor>
    <xdr:from>
      <xdr:col>13</xdr:col>
      <xdr:colOff>571500</xdr:colOff>
      <xdr:row>24</xdr:row>
      <xdr:rowOff>121919</xdr:rowOff>
    </xdr:from>
    <xdr:to>
      <xdr:col>18</xdr:col>
      <xdr:colOff>297180</xdr:colOff>
      <xdr:row>37</xdr:row>
      <xdr:rowOff>142874</xdr:rowOff>
    </xdr:to>
    <xdr:graphicFrame macro="">
      <xdr:nvGraphicFramePr>
        <xdr:cNvPr id="74" name="Chart 73">
          <a:extLst>
            <a:ext uri="{FF2B5EF4-FFF2-40B4-BE49-F238E27FC236}">
              <a16:creationId xmlns:a16="http://schemas.microsoft.com/office/drawing/2014/main" id="{03844194-AF22-4272-8BB1-0DE25D597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17</xdr:col>
      <xdr:colOff>45720</xdr:colOff>
      <xdr:row>24</xdr:row>
      <xdr:rowOff>129540</xdr:rowOff>
    </xdr:from>
    <xdr:to>
      <xdr:col>17</xdr:col>
      <xdr:colOff>358140</xdr:colOff>
      <xdr:row>26</xdr:row>
      <xdr:rowOff>76200</xdr:rowOff>
    </xdr:to>
    <xdr:pic>
      <xdr:nvPicPr>
        <xdr:cNvPr id="75" name="Picture 74">
          <a:extLst>
            <a:ext uri="{FF2B5EF4-FFF2-40B4-BE49-F238E27FC236}">
              <a16:creationId xmlns:a16="http://schemas.microsoft.com/office/drawing/2014/main" id="{29C3567A-F72A-456A-9C5D-FA8F28A5119B}"/>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10408920" y="4518660"/>
          <a:ext cx="312420" cy="312420"/>
        </a:xfrm>
        <a:prstGeom prst="rect">
          <a:avLst/>
        </a:prstGeom>
      </xdr:spPr>
    </xdr:pic>
    <xdr:clientData/>
  </xdr:twoCellAnchor>
  <xdr:twoCellAnchor>
    <xdr:from>
      <xdr:col>13</xdr:col>
      <xdr:colOff>556260</xdr:colOff>
      <xdr:row>8</xdr:row>
      <xdr:rowOff>160020</xdr:rowOff>
    </xdr:from>
    <xdr:to>
      <xdr:col>17</xdr:col>
      <xdr:colOff>434340</xdr:colOff>
      <xdr:row>22</xdr:row>
      <xdr:rowOff>129540</xdr:rowOff>
    </xdr:to>
    <xdr:graphicFrame macro="">
      <xdr:nvGraphicFramePr>
        <xdr:cNvPr id="78" name="Chart 77">
          <a:extLst>
            <a:ext uri="{FF2B5EF4-FFF2-40B4-BE49-F238E27FC236}">
              <a16:creationId xmlns:a16="http://schemas.microsoft.com/office/drawing/2014/main" id="{B1765C4B-D782-4DDB-81B7-48716BF1E4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19</xdr:col>
      <xdr:colOff>419100</xdr:colOff>
      <xdr:row>25</xdr:row>
      <xdr:rowOff>68580</xdr:rowOff>
    </xdr:from>
    <xdr:to>
      <xdr:col>21</xdr:col>
      <xdr:colOff>373380</xdr:colOff>
      <xdr:row>27</xdr:row>
      <xdr:rowOff>45720</xdr:rowOff>
    </xdr:to>
    <xdr:sp macro="" textlink="'ask-question'!G13">
      <xdr:nvSpPr>
        <xdr:cNvPr id="83" name="TextBox 82">
          <a:extLst>
            <a:ext uri="{FF2B5EF4-FFF2-40B4-BE49-F238E27FC236}">
              <a16:creationId xmlns:a16="http://schemas.microsoft.com/office/drawing/2014/main" id="{87E53EB8-C67B-9221-834C-4DB3B5FD3D14}"/>
            </a:ext>
          </a:extLst>
        </xdr:cNvPr>
        <xdr:cNvSpPr txBox="1"/>
      </xdr:nvSpPr>
      <xdr:spPr>
        <a:xfrm>
          <a:off x="12001500" y="464058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Total Quantity</a:t>
          </a:r>
          <a:endParaRPr lang="en-US" sz="1200">
            <a:solidFill>
              <a:schemeClr val="tx2">
                <a:lumMod val="25000"/>
                <a:lumOff val="75000"/>
              </a:schemeClr>
            </a:solidFill>
          </a:endParaRPr>
        </a:p>
      </xdr:txBody>
    </xdr:sp>
    <xdr:clientData/>
  </xdr:twoCellAnchor>
  <xdr:twoCellAnchor>
    <xdr:from>
      <xdr:col>19</xdr:col>
      <xdr:colOff>419100</xdr:colOff>
      <xdr:row>23</xdr:row>
      <xdr:rowOff>7620</xdr:rowOff>
    </xdr:from>
    <xdr:to>
      <xdr:col>21</xdr:col>
      <xdr:colOff>373380</xdr:colOff>
      <xdr:row>24</xdr:row>
      <xdr:rowOff>167640</xdr:rowOff>
    </xdr:to>
    <xdr:sp macro="" textlink="'ask-question'!G13">
      <xdr:nvSpPr>
        <xdr:cNvPr id="84" name="TextBox 83">
          <a:extLst>
            <a:ext uri="{FF2B5EF4-FFF2-40B4-BE49-F238E27FC236}">
              <a16:creationId xmlns:a16="http://schemas.microsoft.com/office/drawing/2014/main" id="{361E17A5-E613-06AD-D8C5-A8CE5F5A7CE5}"/>
            </a:ext>
          </a:extLst>
        </xdr:cNvPr>
        <xdr:cNvSpPr txBox="1"/>
      </xdr:nvSpPr>
      <xdr:spPr>
        <a:xfrm>
          <a:off x="12001500" y="421386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Total Orders</a:t>
          </a:r>
          <a:endParaRPr lang="en-US" sz="1200">
            <a:solidFill>
              <a:schemeClr val="tx2">
                <a:lumMod val="25000"/>
                <a:lumOff val="75000"/>
              </a:schemeClr>
            </a:solidFill>
          </a:endParaRPr>
        </a:p>
      </xdr:txBody>
    </xdr:sp>
    <xdr:clientData/>
  </xdr:twoCellAnchor>
  <xdr:twoCellAnchor>
    <xdr:from>
      <xdr:col>19</xdr:col>
      <xdr:colOff>441960</xdr:colOff>
      <xdr:row>34</xdr:row>
      <xdr:rowOff>68580</xdr:rowOff>
    </xdr:from>
    <xdr:to>
      <xdr:col>21</xdr:col>
      <xdr:colOff>396240</xdr:colOff>
      <xdr:row>36</xdr:row>
      <xdr:rowOff>45720</xdr:rowOff>
    </xdr:to>
    <xdr:sp macro="" textlink="'ask-question'!G13">
      <xdr:nvSpPr>
        <xdr:cNvPr id="85" name="TextBox 84">
          <a:extLst>
            <a:ext uri="{FF2B5EF4-FFF2-40B4-BE49-F238E27FC236}">
              <a16:creationId xmlns:a16="http://schemas.microsoft.com/office/drawing/2014/main" id="{CE8EA0EB-C1F8-D79E-DBB8-39856604987D}"/>
            </a:ext>
          </a:extLst>
        </xdr:cNvPr>
        <xdr:cNvSpPr txBox="1"/>
      </xdr:nvSpPr>
      <xdr:spPr>
        <a:xfrm>
          <a:off x="12024360" y="628650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Total Sales</a:t>
          </a:r>
          <a:endParaRPr lang="en-US" sz="1200">
            <a:solidFill>
              <a:schemeClr val="tx2">
                <a:lumMod val="25000"/>
                <a:lumOff val="75000"/>
              </a:schemeClr>
            </a:solidFill>
          </a:endParaRPr>
        </a:p>
      </xdr:txBody>
    </xdr:sp>
    <xdr:clientData/>
  </xdr:twoCellAnchor>
  <xdr:twoCellAnchor>
    <xdr:from>
      <xdr:col>19</xdr:col>
      <xdr:colOff>457200</xdr:colOff>
      <xdr:row>36</xdr:row>
      <xdr:rowOff>144780</xdr:rowOff>
    </xdr:from>
    <xdr:to>
      <xdr:col>21</xdr:col>
      <xdr:colOff>411480</xdr:colOff>
      <xdr:row>38</xdr:row>
      <xdr:rowOff>121920</xdr:rowOff>
    </xdr:to>
    <xdr:sp macro="" textlink="'ask-question'!G13">
      <xdr:nvSpPr>
        <xdr:cNvPr id="86" name="TextBox 85">
          <a:extLst>
            <a:ext uri="{FF2B5EF4-FFF2-40B4-BE49-F238E27FC236}">
              <a16:creationId xmlns:a16="http://schemas.microsoft.com/office/drawing/2014/main" id="{823F169D-F0ED-45C6-7C63-AE8C33BE0845}"/>
            </a:ext>
          </a:extLst>
        </xdr:cNvPr>
        <xdr:cNvSpPr txBox="1"/>
      </xdr:nvSpPr>
      <xdr:spPr>
        <a:xfrm>
          <a:off x="12039600" y="6728460"/>
          <a:ext cx="1173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25000"/>
                  <a:lumOff val="75000"/>
                </a:schemeClr>
              </a:solidFill>
            </a:rPr>
            <a:t>Failed Sales</a:t>
          </a:r>
          <a:endParaRPr lang="en-US" sz="1200">
            <a:solidFill>
              <a:schemeClr val="tx2">
                <a:lumMod val="25000"/>
                <a:lumOff val="75000"/>
              </a:schemeClr>
            </a:solidFill>
          </a:endParaRPr>
        </a:p>
      </xdr:txBody>
    </xdr:sp>
    <xdr:clientData/>
  </xdr:twoCellAnchor>
  <xdr:twoCellAnchor>
    <xdr:from>
      <xdr:col>18</xdr:col>
      <xdr:colOff>91440</xdr:colOff>
      <xdr:row>9</xdr:row>
      <xdr:rowOff>0</xdr:rowOff>
    </xdr:from>
    <xdr:to>
      <xdr:col>23</xdr:col>
      <xdr:colOff>45720</xdr:colOff>
      <xdr:row>21</xdr:row>
      <xdr:rowOff>129540</xdr:rowOff>
    </xdr:to>
    <xdr:graphicFrame macro="">
      <xdr:nvGraphicFramePr>
        <xdr:cNvPr id="87" name="Chart 86">
          <a:extLst>
            <a:ext uri="{FF2B5EF4-FFF2-40B4-BE49-F238E27FC236}">
              <a16:creationId xmlns:a16="http://schemas.microsoft.com/office/drawing/2014/main" id="{DAB3AFD0-2D64-4DB7-AC1F-FF48ECA56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22</xdr:col>
      <xdr:colOff>357530</xdr:colOff>
      <xdr:row>9</xdr:row>
      <xdr:rowOff>45720</xdr:rowOff>
    </xdr:from>
    <xdr:to>
      <xdr:col>23</xdr:col>
      <xdr:colOff>37490</xdr:colOff>
      <xdr:row>10</xdr:row>
      <xdr:rowOff>152400</xdr:rowOff>
    </xdr:to>
    <xdr:pic>
      <xdr:nvPicPr>
        <xdr:cNvPr id="3" name="Picture 2">
          <a:extLst>
            <a:ext uri="{FF2B5EF4-FFF2-40B4-BE49-F238E27FC236}">
              <a16:creationId xmlns:a16="http://schemas.microsoft.com/office/drawing/2014/main" id="{008F1AC1-4372-B015-6678-12A07FE3BE4A}"/>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3768730" y="1691640"/>
          <a:ext cx="289560" cy="289560"/>
        </a:xfrm>
        <a:prstGeom prst="rect">
          <a:avLst/>
        </a:prstGeom>
      </xdr:spPr>
    </xdr:pic>
    <xdr:clientData/>
  </xdr:twoCellAnchor>
  <xdr:twoCellAnchor editAs="oneCell">
    <xdr:from>
      <xdr:col>20</xdr:col>
      <xdr:colOff>258470</xdr:colOff>
      <xdr:row>9</xdr:row>
      <xdr:rowOff>129540</xdr:rowOff>
    </xdr:from>
    <xdr:to>
      <xdr:col>20</xdr:col>
      <xdr:colOff>418490</xdr:colOff>
      <xdr:row>10</xdr:row>
      <xdr:rowOff>106680</xdr:rowOff>
    </xdr:to>
    <xdr:pic>
      <xdr:nvPicPr>
        <xdr:cNvPr id="20" name="Picture 19">
          <a:extLst>
            <a:ext uri="{FF2B5EF4-FFF2-40B4-BE49-F238E27FC236}">
              <a16:creationId xmlns:a16="http://schemas.microsoft.com/office/drawing/2014/main" id="{7A1AE34D-14C0-CE14-28DB-47FEA89F98BD}"/>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12450470" y="1775460"/>
          <a:ext cx="160020" cy="160020"/>
        </a:xfrm>
        <a:prstGeom prst="rect">
          <a:avLst/>
        </a:prstGeom>
      </xdr:spPr>
    </xdr:pic>
    <xdr:clientData/>
  </xdr:twoCellAnchor>
  <xdr:twoCellAnchor>
    <xdr:from>
      <xdr:col>3</xdr:col>
      <xdr:colOff>152400</xdr:colOff>
      <xdr:row>10</xdr:row>
      <xdr:rowOff>83820</xdr:rowOff>
    </xdr:from>
    <xdr:to>
      <xdr:col>6</xdr:col>
      <xdr:colOff>137160</xdr:colOff>
      <xdr:row>22</xdr:row>
      <xdr:rowOff>175260</xdr:rowOff>
    </xdr:to>
    <xdr:sp macro="" textlink="">
      <xdr:nvSpPr>
        <xdr:cNvPr id="25" name="Rectangle: Rounded Corners 24">
          <a:extLst>
            <a:ext uri="{FF2B5EF4-FFF2-40B4-BE49-F238E27FC236}">
              <a16:creationId xmlns:a16="http://schemas.microsoft.com/office/drawing/2014/main" id="{26135218-E8F8-7AF7-3018-9EBD0E8EB90C}"/>
            </a:ext>
          </a:extLst>
        </xdr:cNvPr>
        <xdr:cNvSpPr/>
      </xdr:nvSpPr>
      <xdr:spPr>
        <a:xfrm>
          <a:off x="1981200" y="1912620"/>
          <a:ext cx="1813560" cy="2286000"/>
        </a:xfrm>
        <a:prstGeom prst="roundRect">
          <a:avLst>
            <a:gd name="adj" fmla="val 6398"/>
          </a:avLst>
        </a:prstGeom>
        <a:gradFill>
          <a:gsLst>
            <a:gs pos="9000">
              <a:srgbClr val="323687"/>
            </a:gs>
            <a:gs pos="36000">
              <a:srgbClr val="10123A"/>
            </a:gs>
          </a:gsLst>
          <a:lin ang="6000000" scaled="0"/>
        </a:gradFill>
        <a:ln w="9525">
          <a:gradFill>
            <a:gsLst>
              <a:gs pos="0">
                <a:srgbClr val="A2D8F0"/>
              </a:gs>
              <a:gs pos="38000">
                <a:srgbClr val="5D63D1"/>
              </a:gs>
              <a:gs pos="100000">
                <a:srgbClr val="2E32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7</xdr:col>
      <xdr:colOff>563880</xdr:colOff>
      <xdr:row>24</xdr:row>
      <xdr:rowOff>106679</xdr:rowOff>
    </xdr:from>
    <xdr:to>
      <xdr:col>13</xdr:col>
      <xdr:colOff>289560</xdr:colOff>
      <xdr:row>37</xdr:row>
      <xdr:rowOff>83820</xdr:rowOff>
    </xdr:to>
    <xdr:graphicFrame macro="">
      <xdr:nvGraphicFramePr>
        <xdr:cNvPr id="26" name="Chart 25">
          <a:extLst>
            <a:ext uri="{FF2B5EF4-FFF2-40B4-BE49-F238E27FC236}">
              <a16:creationId xmlns:a16="http://schemas.microsoft.com/office/drawing/2014/main" id="{85B5527B-55C6-40B0-948E-1C9E0B0FA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10</xdr:col>
      <xdr:colOff>484632</xdr:colOff>
      <xdr:row>9</xdr:row>
      <xdr:rowOff>152400</xdr:rowOff>
    </xdr:from>
    <xdr:to>
      <xdr:col>11</xdr:col>
      <xdr:colOff>156972</xdr:colOff>
      <xdr:row>11</xdr:row>
      <xdr:rowOff>68580</xdr:rowOff>
    </xdr:to>
    <xdr:pic>
      <xdr:nvPicPr>
        <xdr:cNvPr id="27" name="Picture 26">
          <a:extLst>
            <a:ext uri="{FF2B5EF4-FFF2-40B4-BE49-F238E27FC236}">
              <a16:creationId xmlns:a16="http://schemas.microsoft.com/office/drawing/2014/main" id="{659FFF37-A6B8-9E42-FA0F-816CD8DDF20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580632" y="1798320"/>
          <a:ext cx="281940" cy="281940"/>
        </a:xfrm>
        <a:prstGeom prst="rect">
          <a:avLst/>
        </a:prstGeom>
      </xdr:spPr>
    </xdr:pic>
    <xdr:clientData/>
  </xdr:twoCellAnchor>
  <xdr:twoCellAnchor>
    <xdr:from>
      <xdr:col>3</xdr:col>
      <xdr:colOff>381000</xdr:colOff>
      <xdr:row>25</xdr:row>
      <xdr:rowOff>22860</xdr:rowOff>
    </xdr:from>
    <xdr:to>
      <xdr:col>7</xdr:col>
      <xdr:colOff>289560</xdr:colOff>
      <xdr:row>37</xdr:row>
      <xdr:rowOff>106680</xdr:rowOff>
    </xdr:to>
    <xdr:graphicFrame macro="">
      <xdr:nvGraphicFramePr>
        <xdr:cNvPr id="28" name="Chart 27">
          <a:extLst>
            <a:ext uri="{FF2B5EF4-FFF2-40B4-BE49-F238E27FC236}">
              <a16:creationId xmlns:a16="http://schemas.microsoft.com/office/drawing/2014/main" id="{6524DE47-D827-4016-A172-91F6FDED5E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9</xdr:col>
      <xdr:colOff>22861</xdr:colOff>
      <xdr:row>24</xdr:row>
      <xdr:rowOff>160021</xdr:rowOff>
    </xdr:from>
    <xdr:to>
      <xdr:col>9</xdr:col>
      <xdr:colOff>289560</xdr:colOff>
      <xdr:row>26</xdr:row>
      <xdr:rowOff>60960</xdr:rowOff>
    </xdr:to>
    <xdr:pic>
      <xdr:nvPicPr>
        <xdr:cNvPr id="31" name="Picture 30">
          <a:extLst>
            <a:ext uri="{FF2B5EF4-FFF2-40B4-BE49-F238E27FC236}">
              <a16:creationId xmlns:a16="http://schemas.microsoft.com/office/drawing/2014/main" id="{0BB2647B-7E9F-6E1D-E4BE-24A232425C5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509261" y="4549141"/>
          <a:ext cx="266699" cy="266699"/>
        </a:xfrm>
        <a:prstGeom prst="rect">
          <a:avLst/>
        </a:prstGeom>
      </xdr:spPr>
    </xdr:pic>
    <xdr:clientData/>
  </xdr:twoCellAnchor>
  <xdr:twoCellAnchor editAs="oneCell">
    <xdr:from>
      <xdr:col>7</xdr:col>
      <xdr:colOff>45720</xdr:colOff>
      <xdr:row>25</xdr:row>
      <xdr:rowOff>76200</xdr:rowOff>
    </xdr:from>
    <xdr:to>
      <xdr:col>7</xdr:col>
      <xdr:colOff>320040</xdr:colOff>
      <xdr:row>26</xdr:row>
      <xdr:rowOff>167640</xdr:rowOff>
    </xdr:to>
    <xdr:pic>
      <xdr:nvPicPr>
        <xdr:cNvPr id="33" name="Picture 32">
          <a:extLst>
            <a:ext uri="{FF2B5EF4-FFF2-40B4-BE49-F238E27FC236}">
              <a16:creationId xmlns:a16="http://schemas.microsoft.com/office/drawing/2014/main" id="{744EDA0E-E861-2B88-BC75-74C1EBF3B5C9}"/>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4312920" y="4648200"/>
          <a:ext cx="274320" cy="274320"/>
        </a:xfrm>
        <a:prstGeom prst="rect">
          <a:avLst/>
        </a:prstGeom>
      </xdr:spPr>
    </xdr:pic>
    <xdr:clientData/>
  </xdr:twoCellAnchor>
  <xdr:twoCellAnchor editAs="oneCell">
    <xdr:from>
      <xdr:col>3</xdr:col>
      <xdr:colOff>350520</xdr:colOff>
      <xdr:row>25</xdr:row>
      <xdr:rowOff>76202</xdr:rowOff>
    </xdr:from>
    <xdr:to>
      <xdr:col>4</xdr:col>
      <xdr:colOff>23540</xdr:colOff>
      <xdr:row>26</xdr:row>
      <xdr:rowOff>175942</xdr:rowOff>
    </xdr:to>
    <xdr:pic>
      <xdr:nvPicPr>
        <xdr:cNvPr id="43" name="Picture 42">
          <a:extLst>
            <a:ext uri="{FF2B5EF4-FFF2-40B4-BE49-F238E27FC236}">
              <a16:creationId xmlns:a16="http://schemas.microsoft.com/office/drawing/2014/main" id="{A1811BAC-22D4-7C4E-654B-96D5E488E46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2179320" y="4648202"/>
          <a:ext cx="282620" cy="282620"/>
        </a:xfrm>
        <a:prstGeom prst="rect">
          <a:avLst/>
        </a:prstGeom>
      </xdr:spPr>
    </xdr:pic>
    <xdr:clientData/>
  </xdr:twoCellAnchor>
  <xdr:twoCellAnchor editAs="oneCell">
    <xdr:from>
      <xdr:col>3</xdr:col>
      <xdr:colOff>182880</xdr:colOff>
      <xdr:row>10</xdr:row>
      <xdr:rowOff>106680</xdr:rowOff>
    </xdr:from>
    <xdr:to>
      <xdr:col>6</xdr:col>
      <xdr:colOff>106680</xdr:colOff>
      <xdr:row>22</xdr:row>
      <xdr:rowOff>106680</xdr:rowOff>
    </xdr:to>
    <mc:AlternateContent xmlns:mc="http://schemas.openxmlformats.org/markup-compatibility/2006" xmlns:a14="http://schemas.microsoft.com/office/drawing/2010/main">
      <mc:Choice Requires="a14">
        <xdr:graphicFrame macro="">
          <xdr:nvGraphicFramePr>
            <xdr:cNvPr id="2" name="نوع المنتج">
              <a:extLst>
                <a:ext uri="{FF2B5EF4-FFF2-40B4-BE49-F238E27FC236}">
                  <a16:creationId xmlns:a16="http://schemas.microsoft.com/office/drawing/2014/main" id="{B3B8AD91-97D3-47F7-B6B2-475639311403}"/>
                </a:ext>
              </a:extLst>
            </xdr:cNvPr>
            <xdr:cNvGraphicFramePr/>
          </xdr:nvGraphicFramePr>
          <xdr:xfrm>
            <a:off x="0" y="0"/>
            <a:ext cx="0" cy="0"/>
          </xdr:xfrm>
          <a:graphic>
            <a:graphicData uri="http://schemas.microsoft.com/office/drawing/2010/slicer">
              <sle:slicer xmlns:sle="http://schemas.microsoft.com/office/drawing/2010/slicer" name="نوع المنتج"/>
            </a:graphicData>
          </a:graphic>
        </xdr:graphicFrame>
      </mc:Choice>
      <mc:Fallback xmlns="">
        <xdr:sp macro="" textlink="">
          <xdr:nvSpPr>
            <xdr:cNvPr id="0" name=""/>
            <xdr:cNvSpPr>
              <a:spLocks noTextEdit="1"/>
            </xdr:cNvSpPr>
          </xdr:nvSpPr>
          <xdr:spPr>
            <a:xfrm>
              <a:off x="2011680" y="1935480"/>
              <a:ext cx="1752600" cy="2194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60961</xdr:colOff>
      <xdr:row>20</xdr:row>
      <xdr:rowOff>68581</xdr:rowOff>
    </xdr:from>
    <xdr:to>
      <xdr:col>5</xdr:col>
      <xdr:colOff>434340</xdr:colOff>
      <xdr:row>22</xdr:row>
      <xdr:rowOff>76200</xdr:rowOff>
    </xdr:to>
    <xdr:pic>
      <xdr:nvPicPr>
        <xdr:cNvPr id="34" name="Picture 33">
          <a:extLst>
            <a:ext uri="{FF2B5EF4-FFF2-40B4-BE49-F238E27FC236}">
              <a16:creationId xmlns:a16="http://schemas.microsoft.com/office/drawing/2014/main" id="{4E131771-561C-0A15-B83E-C498A813D884}"/>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3108961" y="3726181"/>
          <a:ext cx="373379" cy="373379"/>
        </a:xfrm>
        <a:prstGeom prst="rect">
          <a:avLst/>
        </a:prstGeom>
      </xdr:spPr>
    </xdr:pic>
    <xdr:clientData/>
  </xdr:twoCellAnchor>
  <xdr:twoCellAnchor editAs="oneCell">
    <xdr:from>
      <xdr:col>22</xdr:col>
      <xdr:colOff>15240</xdr:colOff>
      <xdr:row>4</xdr:row>
      <xdr:rowOff>30482</xdr:rowOff>
    </xdr:from>
    <xdr:to>
      <xdr:col>22</xdr:col>
      <xdr:colOff>363670</xdr:colOff>
      <xdr:row>6</xdr:row>
      <xdr:rowOff>13152</xdr:rowOff>
    </xdr:to>
    <xdr:pic macro="[0]!Reset_Slicers">
      <xdr:nvPicPr>
        <xdr:cNvPr id="54" name="Picture 53">
          <a:extLst>
            <a:ext uri="{FF2B5EF4-FFF2-40B4-BE49-F238E27FC236}">
              <a16:creationId xmlns:a16="http://schemas.microsoft.com/office/drawing/2014/main" id="{DE0BCAEE-2510-324A-F954-DC1987C89C9C}"/>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13426440" y="762002"/>
          <a:ext cx="348430" cy="348430"/>
        </a:xfrm>
        <a:prstGeom prst="rect">
          <a:avLst/>
        </a:prstGeom>
      </xdr:spPr>
    </xdr:pic>
    <xdr:clientData/>
  </xdr:twoCellAnchor>
</xdr:wsDr>
</file>

<file path=xl/drawings/drawing6.xml><?xml version="1.0" encoding="utf-8"?>
<c:userShapes xmlns:c="http://schemas.openxmlformats.org/drawingml/2006/chart">
  <cdr:relSizeAnchor xmlns:cdr="http://schemas.openxmlformats.org/drawingml/2006/chartDrawing">
    <cdr:from>
      <cdr:x>0.18281</cdr:x>
      <cdr:y>0.00212</cdr:y>
    </cdr:from>
    <cdr:to>
      <cdr:x>0.31313</cdr:x>
      <cdr:y>0.16246</cdr:y>
    </cdr:to>
    <cdr:pic>
      <cdr:nvPicPr>
        <cdr:cNvPr id="2" name="Picture 1">
          <a:extLst xmlns:a="http://schemas.openxmlformats.org/drawingml/2006/main">
            <a:ext uri="{FF2B5EF4-FFF2-40B4-BE49-F238E27FC236}">
              <a16:creationId xmlns:a16="http://schemas.microsoft.com/office/drawing/2014/main" id="{0D87F0AD-E9DC-CF41-8A7D-9FE6806682A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07070" y="5085"/>
          <a:ext cx="361466" cy="384558"/>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0.0318</cdr:x>
      <cdr:y>0.03514</cdr:y>
    </cdr:from>
    <cdr:to>
      <cdr:x>0.14474</cdr:x>
      <cdr:y>0.13855</cdr:y>
    </cdr:to>
    <cdr:pic>
      <cdr:nvPicPr>
        <cdr:cNvPr id="2" name="Picture 1">
          <a:extLst xmlns:a="http://schemas.openxmlformats.org/drawingml/2006/main">
            <a:ext uri="{FF2B5EF4-FFF2-40B4-BE49-F238E27FC236}">
              <a16:creationId xmlns:a16="http://schemas.microsoft.com/office/drawing/2014/main" id="{E0C28347-6DF1-D254-9606-8D53C8C2D34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73660" y="88900"/>
          <a:ext cx="261620" cy="261620"/>
        </a:xfrm>
        <a:prstGeom xmlns:a="http://schemas.openxmlformats.org/drawingml/2006/main" prst="rect">
          <a:avLst/>
        </a:prstGeom>
      </cdr:spPr>
    </cdr:pic>
  </cdr:relSizeAnchor>
  <cdr:relSizeAnchor xmlns:cdr="http://schemas.openxmlformats.org/drawingml/2006/chartDrawing">
    <cdr:from>
      <cdr:x>0.86958</cdr:x>
      <cdr:y>0.03419</cdr:y>
    </cdr:from>
    <cdr:to>
      <cdr:x>0.99013</cdr:x>
      <cdr:y>0.14458</cdr:y>
    </cdr:to>
    <cdr:pic>
      <cdr:nvPicPr>
        <cdr:cNvPr id="3" name="Picture 2">
          <a:extLst xmlns:a="http://schemas.openxmlformats.org/drawingml/2006/main">
            <a:ext uri="{FF2B5EF4-FFF2-40B4-BE49-F238E27FC236}">
              <a16:creationId xmlns:a16="http://schemas.microsoft.com/office/drawing/2014/main" id="{8666B5B6-0969-CFC3-5E4E-254B2CBC068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014360" y="86500"/>
          <a:ext cx="279260" cy="279260"/>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er" refreshedDate="46026.594912615743" createdVersion="8" refreshedVersion="8" minRefreshableVersion="3" recordCount="118" xr:uid="{EEB9A16F-E126-4A22-B8EE-2FC3D4E5F50F}">
  <cacheSource type="worksheet">
    <worksheetSource name="Data_1"/>
  </cacheSource>
  <cacheFields count="31">
    <cacheField name="2" numFmtId="0">
      <sharedItems containsSemiMixedTypes="0" containsString="0" containsNumber="1" containsInteger="1" minValue="1" maxValue="119"/>
    </cacheField>
    <cacheField name="رقم العملية" numFmtId="0">
      <sharedItems containsSemiMixedTypes="0" containsString="0" containsNumber="1" containsInteger="1" minValue="1" maxValue="265453625"/>
    </cacheField>
    <cacheField name="رقم الطلب" numFmtId="0">
      <sharedItems containsSemiMixedTypes="0" containsString="0" containsNumber="1" containsInteger="1" minValue="11" maxValue="1708226"/>
    </cacheField>
    <cacheField name="إسم العميل" numFmtId="0">
      <sharedItems/>
    </cacheField>
    <cacheField name="نوع العميل" numFmtId="0">
      <sharedItems count="2">
        <s v="شخص"/>
        <s v="شركة"/>
      </sharedItems>
    </cacheField>
    <cacheField name="نوع العميل بدون تكرار" numFmtId="0">
      <sharedItems containsSemiMixedTypes="0" containsString="0" containsNumber="1" containsInteger="1" minValue="0" maxValue="1"/>
    </cacheField>
    <cacheField name="العنوان" numFmtId="0">
      <sharedItems/>
    </cacheField>
    <cacheField name="منصة البيع" numFmtId="0">
      <sharedItems count="8">
        <s v="هومزمارت"/>
        <s v="شيك هومز"/>
        <s v="فيسبوك"/>
        <s v="تاكي"/>
        <s v="اوسكار ريتن"/>
        <s v="السويس"/>
        <s v="منزلي"/>
        <s v="كيمت"/>
      </sharedItems>
    </cacheField>
    <cacheField name="المحافظة" numFmtId="0">
      <sharedItems count="8">
        <s v="الجيزة"/>
        <s v="الأسكندرية"/>
        <s v="مطروح"/>
        <s v="الغردقة"/>
        <s v="القاهرة"/>
        <s v="القليوبية"/>
        <s v="السويس"/>
        <s v="أسيوط"/>
      </sharedItems>
    </cacheField>
    <cacheField name="إسم المنتج" numFmtId="0">
      <sharedItems count="5">
        <s v="سرير"/>
        <s v="ترابيزه"/>
        <s v="كنبه"/>
        <s v="ركنة"/>
        <s v="كرسى"/>
      </sharedItems>
    </cacheField>
    <cacheField name="نوع المنتج" numFmtId="0">
      <sharedItems count="13">
        <s v="منطبق"/>
        <s v="دورين"/>
        <s v="بمكتبة"/>
        <s v="4*1"/>
        <s v="فردى"/>
        <s v="ركنة بسرير"/>
        <s v="سحارة"/>
        <s v="2 ميكانزم"/>
        <s v="فنسيا"/>
        <s v="رف سحاب"/>
        <s v="ثلاثه ادوار"/>
        <s v="t1"/>
        <s v="دوران"/>
      </sharedItems>
    </cacheField>
    <cacheField name="لون المعدن" numFmtId="0">
      <sharedItems count="9">
        <s v="ابيض"/>
        <s v="اسود"/>
        <s v="ازرق"/>
        <s v="رمادى"/>
        <s v="دهبي"/>
        <s v="بنفسجى"/>
        <s v="ملون"/>
        <s v="بينك"/>
        <s v="نبيتى"/>
      </sharedItems>
    </cacheField>
    <cacheField name="المنتج" numFmtId="0">
      <sharedItems/>
    </cacheField>
    <cacheField name="كميات المبيعات الملغاه" numFmtId="0">
      <sharedItems containsSemiMixedTypes="0" containsString="0" containsNumber="1" containsInteger="1" minValue="0" maxValue="1"/>
    </cacheField>
    <cacheField name="المبيعات الملغاه" numFmtId="0">
      <sharedItems containsSemiMixedTypes="0" containsString="0" containsNumber="1" minValue="0" maxValue="21999"/>
    </cacheField>
    <cacheField name="جميع الكميات" numFmtId="0">
      <sharedItems containsSemiMixedTypes="0" containsString="0" containsNumber="1" containsInteger="1" minValue="1" maxValue="4"/>
    </cacheField>
    <cacheField name="الكميات المباعه" numFmtId="0">
      <sharedItems containsSemiMixedTypes="0" containsString="0" containsNumber="1" containsInteger="1" minValue="0" maxValue="4"/>
    </cacheField>
    <cacheField name="إجمالى المبيعات" numFmtId="0">
      <sharedItems containsSemiMixedTypes="0" containsString="0" containsNumber="1" minValue="0" maxValue="31948"/>
    </cacheField>
    <cacheField name="المبيعات" numFmtId="0">
      <sharedItems containsSemiMixedTypes="0" containsString="0" containsNumber="1" minValue="4020" maxValue="31948"/>
    </cacheField>
    <cacheField name="سعر البيع " numFmtId="0">
      <sharedItems containsSemiMixedTypes="0" containsString="0" containsNumber="1" minValue="4020" maxValue="22000"/>
    </cacheField>
    <cacheField name="طريقه الدفع " numFmtId="0">
      <sharedItems/>
    </cacheField>
    <cacheField name="ميعاد الطلب" numFmtId="14">
      <sharedItems containsSemiMixedTypes="0" containsNonDate="0" containsDate="1" containsString="0" minDate="2024-07-27T00:00:00" maxDate="2024-12-15T00:00:00" count="55">
        <d v="2024-07-27T00:00:00"/>
        <d v="2024-07-28T00:00:00"/>
        <d v="2024-08-25T00:00:00"/>
        <d v="2024-08-16T00:00:00"/>
        <d v="2024-08-14T00:00:00"/>
        <d v="2024-08-17T00:00:00"/>
        <d v="2024-08-19T00:00:00"/>
        <d v="2024-09-01T00:00:00"/>
        <d v="2024-09-05T00:00:00"/>
        <d v="2024-09-04T00:00:00"/>
        <d v="2024-09-03T00:00:00"/>
        <d v="2024-09-06T00:00:00"/>
        <d v="2024-09-09T00:00:00"/>
        <d v="2024-09-12T00:00:00"/>
        <d v="2024-09-14T00:00:00"/>
        <d v="2024-09-13T00:00:00"/>
        <d v="2024-09-15T00:00:00"/>
        <d v="2024-09-16T00:00:00"/>
        <d v="2024-09-21T00:00:00"/>
        <d v="2024-09-23T00:00:00"/>
        <d v="2024-09-26T00:00:00"/>
        <d v="2024-09-29T00:00:00"/>
        <d v="2024-10-01T00:00:00"/>
        <d v="2024-10-03T00:00:00"/>
        <d v="2024-10-08T00:00:00"/>
        <d v="2024-10-07T00:00:00"/>
        <d v="2024-10-10T00:00:00"/>
        <d v="2024-10-13T00:00:00"/>
        <d v="2024-10-16T00:00:00"/>
        <d v="2024-10-17T00:00:00"/>
        <d v="2024-10-20T00:00:00"/>
        <d v="2024-10-22T00:00:00"/>
        <d v="2024-10-21T00:00:00"/>
        <d v="2024-10-24T00:00:00"/>
        <d v="2024-10-26T00:00:00"/>
        <d v="2024-10-28T00:00:00"/>
        <d v="2024-11-11T00:00:00"/>
        <d v="2024-11-08T00:00:00"/>
        <d v="2024-11-10T00:00:00"/>
        <d v="2024-11-12T00:00:00"/>
        <d v="2024-11-14T00:00:00"/>
        <d v="2024-11-17T00:00:00"/>
        <d v="2024-11-20T00:00:00"/>
        <d v="2024-11-22T00:00:00"/>
        <d v="2024-11-24T00:00:00"/>
        <d v="2024-11-19T00:00:00"/>
        <d v="2024-11-27T00:00:00"/>
        <d v="2024-11-29T00:00:00"/>
        <d v="2024-11-30T00:00:00"/>
        <d v="2024-12-02T00:00:00"/>
        <d v="2024-12-01T00:00:00"/>
        <d v="2024-12-04T00:00:00"/>
        <d v="2024-12-09T00:00:00"/>
        <d v="2024-12-12T00:00:00"/>
        <d v="2024-12-14T00:00:00"/>
      </sharedItems>
      <fieldGroup par="30"/>
    </cacheField>
    <cacheField name="ميعاد التسليم" numFmtId="14">
      <sharedItems containsNonDate="0" containsDate="1" containsString="0" containsBlank="1" minDate="2024-08-07T00:00:00" maxDate="2025-01-06T00:00:00"/>
    </cacheField>
    <cacheField name="تاريخ التسليم" numFmtId="14">
      <sharedItems containsNonDate="0" containsDate="1" containsString="0" containsBlank="1" minDate="2024-08-10T00:00:00" maxDate="2024-12-30T00:00:00"/>
    </cacheField>
    <cacheField name="المسئول عن التسليم" numFmtId="0">
      <sharedItems/>
    </cacheField>
    <cacheField name="الحالة" numFmtId="0">
      <sharedItems/>
    </cacheField>
    <cacheField name="فرق التسليم" numFmtId="0">
      <sharedItems containsMixedTypes="1" containsNumber="1" containsInteger="1" minValue="-20" maxValue="59"/>
    </cacheField>
    <cacheField name="شهر الطلب" numFmtId="0">
      <sharedItems count="6">
        <s v="July"/>
        <s v="August"/>
        <s v="September"/>
        <s v="October"/>
        <s v="November"/>
        <s v="December"/>
      </sharedItems>
    </cacheField>
    <cacheField name="حاله التسليم" numFmtId="0">
      <sharedItems count="4">
        <s v="تم التسليم بعد الميعاد"/>
        <s v="فشل التسليم"/>
        <s v="تم التسليم قبل الميعاد"/>
        <s v="تم التسليم فى الميعاد"/>
      </sharedItems>
    </cacheField>
    <cacheField name="Days (ميعاد الطلب)" numFmtId="0" databaseField="0">
      <fieldGroup base="21">
        <rangePr groupBy="days" startDate="2024-07-27T00:00:00" endDate="2024-12-15T00:00:00"/>
        <groupItems count="368">
          <s v="&lt;7/27/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5/2024"/>
        </groupItems>
      </fieldGroup>
    </cacheField>
    <cacheField name="Months (ميعاد الطلب)" numFmtId="0" databaseField="0">
      <fieldGroup base="21">
        <rangePr groupBy="months" startDate="2024-07-27T00:00:00" endDate="2024-12-15T00:00:00"/>
        <groupItems count="14">
          <s v="&lt;7/27/2024"/>
          <s v="Jan"/>
          <s v="Feb"/>
          <s v="Mar"/>
          <s v="Apr"/>
          <s v="May"/>
          <s v="Jun"/>
          <s v="Jul"/>
          <s v="Aug"/>
          <s v="Sep"/>
          <s v="Oct"/>
          <s v="Nov"/>
          <s v="Dec"/>
          <s v="&gt;12/15/2024"/>
        </groupItems>
      </fieldGroup>
    </cacheField>
  </cacheFields>
  <extLst>
    <ext xmlns:x14="http://schemas.microsoft.com/office/spreadsheetml/2009/9/main" uri="{725AE2AE-9491-48be-B2B4-4EB974FC3084}">
      <x14:pivotCacheDefinition pivotCacheId="18385018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8">
  <r>
    <n v="1"/>
    <n v="1"/>
    <n v="11"/>
    <s v="خالد عبد القوى"/>
    <x v="0"/>
    <n v="1"/>
    <s v="العجوزه "/>
    <x v="0"/>
    <x v="0"/>
    <x v="0"/>
    <x v="0"/>
    <x v="0"/>
    <s v="سرير منطبق الحديد ابيض والقماش ابيض "/>
    <n v="0"/>
    <n v="0"/>
    <n v="1"/>
    <n v="1"/>
    <n v="10160"/>
    <n v="10160"/>
    <n v="10160"/>
    <s v="حساب شخصى"/>
    <x v="0"/>
    <d v="2024-08-07T00:00:00"/>
    <d v="2024-08-10T00:00:00"/>
    <s v="شركة الشحن"/>
    <s v="تم التسليم"/>
    <n v="-3"/>
    <x v="0"/>
    <x v="0"/>
  </r>
  <r>
    <n v="2"/>
    <n v="2"/>
    <n v="22"/>
    <s v="محمود"/>
    <x v="0"/>
    <n v="1"/>
    <s v="سموحه "/>
    <x v="0"/>
    <x v="1"/>
    <x v="0"/>
    <x v="0"/>
    <x v="1"/>
    <s v="سرير منطبق اسود والقماش اسود "/>
    <n v="0"/>
    <n v="0"/>
    <n v="1"/>
    <n v="1"/>
    <n v="10160"/>
    <n v="10160"/>
    <n v="10160"/>
    <s v="حساب شخصى"/>
    <x v="1"/>
    <d v="2024-08-07T00:00:00"/>
    <d v="2024-08-11T00:00:00"/>
    <s v="شركة الشحن"/>
    <s v="تم التسليم"/>
    <n v="-4"/>
    <x v="0"/>
    <x v="0"/>
  </r>
  <r>
    <n v="3"/>
    <n v="3"/>
    <n v="33"/>
    <s v="سعيد"/>
    <x v="0"/>
    <n v="1"/>
    <s v="سيدى عبد الرحمن - الساحل الشمالى "/>
    <x v="0"/>
    <x v="2"/>
    <x v="0"/>
    <x v="1"/>
    <x v="2"/>
    <s v="سرير كيفينج مقاس 90 لون ازرق "/>
    <n v="1"/>
    <n v="11455"/>
    <n v="1"/>
    <n v="0"/>
    <n v="0"/>
    <n v="11455"/>
    <n v="11455"/>
    <s v="حساب شخصى"/>
    <x v="0"/>
    <m/>
    <m/>
    <s v="فشل التسليم "/>
    <s v="فشل التسليم"/>
    <s v="فشل التسليم"/>
    <x v="0"/>
    <x v="1"/>
  </r>
  <r>
    <n v="4"/>
    <n v="4"/>
    <n v="44"/>
    <s v="ساندرا"/>
    <x v="0"/>
    <n v="1"/>
    <s v="الغردقه "/>
    <x v="0"/>
    <x v="3"/>
    <x v="1"/>
    <x v="2"/>
    <x v="1"/>
    <s v="ترابيزه قهوه متحركه "/>
    <n v="0"/>
    <n v="0"/>
    <n v="1"/>
    <n v="1"/>
    <n v="8642"/>
    <n v="8642"/>
    <n v="8642"/>
    <s v="حساب شخصى"/>
    <x v="2"/>
    <d v="2024-09-07T00:00:00"/>
    <d v="2024-08-27T00:00:00"/>
    <s v="شركة الشحن"/>
    <s v="تم التسليم"/>
    <n v="11"/>
    <x v="1"/>
    <x v="2"/>
  </r>
  <r>
    <n v="5"/>
    <n v="5"/>
    <n v="55"/>
    <s v="زينا"/>
    <x v="0"/>
    <n v="1"/>
    <s v="سيدى عبد الرحمن - الساحل الشمالى "/>
    <x v="0"/>
    <x v="2"/>
    <x v="0"/>
    <x v="1"/>
    <x v="3"/>
    <s v="سرير نوفال متر رمادى "/>
    <n v="1"/>
    <n v="12833"/>
    <n v="1"/>
    <n v="0"/>
    <n v="0"/>
    <n v="12833"/>
    <n v="12833"/>
    <s v="حساب شخصى"/>
    <x v="3"/>
    <d v="2024-08-31T00:00:00"/>
    <m/>
    <s v="فشل التسليم "/>
    <s v="فشل التسليم"/>
    <s v="فشل التسليم"/>
    <x v="1"/>
    <x v="1"/>
  </r>
  <r>
    <n v="6"/>
    <n v="6"/>
    <n v="66"/>
    <s v="شيك هومز"/>
    <x v="1"/>
    <n v="1"/>
    <s v="مخزن شيك هومز"/>
    <x v="1"/>
    <x v="4"/>
    <x v="2"/>
    <x v="3"/>
    <x v="3"/>
    <s v="كنبه سرير رمادى "/>
    <n v="0"/>
    <n v="0"/>
    <n v="1"/>
    <n v="1"/>
    <n v="14550"/>
    <n v="14550"/>
    <n v="14550"/>
    <s v="حساب شركه"/>
    <x v="4"/>
    <d v="2024-09-03T00:00:00"/>
    <d v="2024-09-05T00:00:00"/>
    <s v="شركة الشحن"/>
    <s v="تم التسليم"/>
    <n v="-2"/>
    <x v="1"/>
    <x v="0"/>
  </r>
  <r>
    <n v="7"/>
    <n v="7"/>
    <n v="77"/>
    <s v="احمد"/>
    <x v="0"/>
    <n v="1"/>
    <s v="التجمع الخامس"/>
    <x v="2"/>
    <x v="4"/>
    <x v="2"/>
    <x v="3"/>
    <x v="3"/>
    <s v="كنبه سرير رمادى "/>
    <n v="0"/>
    <n v="0"/>
    <n v="1"/>
    <n v="1"/>
    <n v="12000"/>
    <n v="12000"/>
    <n v="12000"/>
    <s v="حساب شخصى"/>
    <x v="5"/>
    <d v="2024-08-20T00:00:00"/>
    <d v="2024-08-19T00:00:00"/>
    <s v="شركة الشحن"/>
    <s v="تم التسليم"/>
    <n v="1"/>
    <x v="1"/>
    <x v="2"/>
  </r>
  <r>
    <n v="8"/>
    <n v="8"/>
    <n v="88"/>
    <s v="يالماز"/>
    <x v="0"/>
    <n v="1"/>
    <s v="أكتوبر  الجيزة"/>
    <x v="0"/>
    <x v="0"/>
    <x v="0"/>
    <x v="4"/>
    <x v="0"/>
    <s v="سرير فردى ابيض "/>
    <n v="0"/>
    <n v="0"/>
    <n v="1"/>
    <n v="1"/>
    <n v="7228"/>
    <n v="7228"/>
    <n v="7228"/>
    <s v="حساب شخصى"/>
    <x v="2"/>
    <d v="2024-09-03T00:00:00"/>
    <d v="2024-09-10T00:00:00"/>
    <s v="شركة الشحن"/>
    <s v="تم التسليم"/>
    <n v="-7"/>
    <x v="1"/>
    <x v="0"/>
  </r>
  <r>
    <n v="9"/>
    <n v="9"/>
    <n v="99"/>
    <s v="تاكي"/>
    <x v="1"/>
    <n v="1"/>
    <s v="العباسيه"/>
    <x v="3"/>
    <x v="4"/>
    <x v="3"/>
    <x v="5"/>
    <x v="1"/>
    <s v="ركنه "/>
    <n v="0"/>
    <n v="0"/>
    <n v="1"/>
    <n v="1"/>
    <n v="22000"/>
    <n v="22000"/>
    <n v="22000"/>
    <s v="حساب شركه"/>
    <x v="6"/>
    <d v="2024-09-01T00:00:00"/>
    <d v="2024-09-17T00:00:00"/>
    <s v="محمود على"/>
    <s v="تم التسليم"/>
    <n v="-16"/>
    <x v="1"/>
    <x v="0"/>
  </r>
  <r>
    <n v="11"/>
    <n v="12"/>
    <n v="122"/>
    <s v="تاكي"/>
    <x v="1"/>
    <n v="0"/>
    <s v="العباسيه "/>
    <x v="3"/>
    <x v="4"/>
    <x v="2"/>
    <x v="6"/>
    <x v="1"/>
    <s v="٢ كنبه سحاره بدون مخدع "/>
    <n v="0"/>
    <n v="0"/>
    <n v="2"/>
    <n v="2"/>
    <n v="12000"/>
    <n v="12000"/>
    <n v="6000"/>
    <s v="حساب شركه"/>
    <x v="2"/>
    <d v="2024-09-15T00:00:00"/>
    <d v="2024-09-17T00:00:00"/>
    <s v="محمود على"/>
    <s v="تم التسليم"/>
    <n v="-2"/>
    <x v="1"/>
    <x v="0"/>
  </r>
  <r>
    <n v="12"/>
    <n v="13"/>
    <n v="133"/>
    <s v="على رشوان"/>
    <x v="0"/>
    <n v="1"/>
    <s v="مصر الجديده"/>
    <x v="0"/>
    <x v="4"/>
    <x v="0"/>
    <x v="1"/>
    <x v="0"/>
    <s v="سرير نوفال ابيض مقاس ٨٠"/>
    <n v="0"/>
    <n v="0"/>
    <n v="1"/>
    <n v="1"/>
    <n v="10499"/>
    <n v="10499"/>
    <n v="10499"/>
    <s v="حساب شخصى"/>
    <x v="7"/>
    <d v="2024-09-16T00:00:00"/>
    <d v="2024-09-08T00:00:00"/>
    <s v="شركة الشحن"/>
    <s v="تم التسليم"/>
    <n v="8"/>
    <x v="2"/>
    <x v="2"/>
  </r>
  <r>
    <n v="13"/>
    <n v="1404561"/>
    <n v="1199284"/>
    <s v="احمد فخرى"/>
    <x v="0"/>
    <n v="1"/>
    <s v="أكتوبر "/>
    <x v="0"/>
    <x v="0"/>
    <x v="0"/>
    <x v="4"/>
    <x v="0"/>
    <s v="سرير فردى خشب موسكى الحديد ابيض مقاس ٨٠"/>
    <n v="1"/>
    <n v="7295"/>
    <n v="1"/>
    <n v="0"/>
    <n v="0"/>
    <n v="7295"/>
    <n v="7295"/>
    <s v="حساب شخصى"/>
    <x v="8"/>
    <d v="2024-09-14T00:00:00"/>
    <m/>
    <s v="لاغى"/>
    <s v="فشل التسليم"/>
    <s v="فشل التسليم"/>
    <x v="2"/>
    <x v="1"/>
  </r>
  <r>
    <n v="14"/>
    <n v="1401137"/>
    <n v="1197500"/>
    <s v="لينا"/>
    <x v="0"/>
    <n v="1"/>
    <s v="المقطم "/>
    <x v="0"/>
    <x v="4"/>
    <x v="1"/>
    <x v="7"/>
    <x v="1"/>
    <s v="ترابيزه قهوه علويه جديده "/>
    <n v="1"/>
    <n v="7849"/>
    <n v="1"/>
    <n v="0"/>
    <n v="0"/>
    <n v="7849"/>
    <n v="7849"/>
    <s v="حساب شخصى"/>
    <x v="9"/>
    <d v="2024-09-16T00:00:00"/>
    <d v="2024-09-25T00:00:00"/>
    <s v="شركة الشحن"/>
    <s v="فشل التسليم"/>
    <s v="فشل التسليم"/>
    <x v="2"/>
    <x v="1"/>
  </r>
  <r>
    <n v="15"/>
    <n v="15"/>
    <n v="155"/>
    <s v="فيصل نعيم"/>
    <x v="0"/>
    <n v="1"/>
    <s v="التجمع الخامس "/>
    <x v="4"/>
    <x v="4"/>
    <x v="0"/>
    <x v="1"/>
    <x v="1"/>
    <s v="٢ سرير كيفنج ١٢٠ اسود "/>
    <n v="0"/>
    <n v="0"/>
    <n v="2"/>
    <n v="2"/>
    <n v="12360"/>
    <n v="12360"/>
    <n v="6180"/>
    <s v="حساب شخصى"/>
    <x v="10"/>
    <d v="2024-09-16T00:00:00"/>
    <d v="2024-09-15T00:00:00"/>
    <s v="محمود على"/>
    <s v="تم التسليم"/>
    <n v="1"/>
    <x v="2"/>
    <x v="2"/>
  </r>
  <r>
    <n v="16"/>
    <n v="1400149"/>
    <n v="1196947"/>
    <s v="الكافى"/>
    <x v="0"/>
    <n v="1"/>
    <s v="مدينه نصر "/>
    <x v="0"/>
    <x v="4"/>
    <x v="0"/>
    <x v="1"/>
    <x v="0"/>
    <s v="سرير كينج ابيض مقاس ٨٠ التصميم الجديد "/>
    <n v="1"/>
    <n v="11199"/>
    <n v="1"/>
    <n v="0"/>
    <n v="0"/>
    <n v="11199"/>
    <n v="11199"/>
    <s v="حساب شخصى"/>
    <x v="9"/>
    <d v="2024-09-18T00:00:00"/>
    <m/>
    <s v="لاغى"/>
    <s v="فشل التسليم"/>
    <s v="فشل التسليم"/>
    <x v="2"/>
    <x v="1"/>
  </r>
  <r>
    <n v="17"/>
    <n v="1408099"/>
    <n v="1201057"/>
    <s v="احمد"/>
    <x v="0"/>
    <n v="0"/>
    <s v=" القاهرة الجديده"/>
    <x v="0"/>
    <x v="4"/>
    <x v="0"/>
    <x v="4"/>
    <x v="0"/>
    <s v="٤سرير فردى خشب موسكى الحديد ابيض مقاس ٨٠"/>
    <n v="0"/>
    <n v="0"/>
    <n v="4"/>
    <n v="4"/>
    <n v="31948"/>
    <n v="31948"/>
    <n v="7987"/>
    <s v="حساب شخصى"/>
    <x v="11"/>
    <d v="2024-09-16T00:00:00"/>
    <d v="2024-09-21T00:00:00"/>
    <s v="محمود على"/>
    <s v="تم التسليم"/>
    <n v="-5"/>
    <x v="2"/>
    <x v="0"/>
  </r>
  <r>
    <n v="18"/>
    <n v="16"/>
    <n v="166"/>
    <s v="تاكي"/>
    <x v="1"/>
    <n v="0"/>
    <s v="العباسيه"/>
    <x v="3"/>
    <x v="4"/>
    <x v="4"/>
    <x v="8"/>
    <x v="1"/>
    <s v="٢ فوتيه فنسيا "/>
    <n v="0"/>
    <n v="0"/>
    <n v="2"/>
    <n v="2"/>
    <n v="18600"/>
    <n v="18600"/>
    <n v="9300"/>
    <s v="حساب شركه"/>
    <x v="9"/>
    <d v="2024-09-15T00:00:00"/>
    <d v="2024-09-17T00:00:00"/>
    <s v="محمود على"/>
    <s v="تم التسليم"/>
    <n v="-2"/>
    <x v="2"/>
    <x v="0"/>
  </r>
  <r>
    <n v="19"/>
    <n v="1408098"/>
    <n v="1201057"/>
    <s v="احمد"/>
    <x v="0"/>
    <n v="0"/>
    <s v=" القاهرة الجديده"/>
    <x v="0"/>
    <x v="4"/>
    <x v="0"/>
    <x v="4"/>
    <x v="0"/>
    <s v="٤سرير فردى خشب موسكى الحديد ابيض مقاس ٨٠"/>
    <n v="0"/>
    <n v="0"/>
    <n v="4"/>
    <n v="4"/>
    <n v="31948"/>
    <n v="31948"/>
    <n v="7987"/>
    <s v="حساب شخصى"/>
    <x v="11"/>
    <d v="2024-09-16T00:00:00"/>
    <d v="2024-09-21T00:00:00"/>
    <s v="محمود على"/>
    <s v="تم التسليم"/>
    <n v="-5"/>
    <x v="2"/>
    <x v="0"/>
  </r>
  <r>
    <n v="20"/>
    <n v="1408100"/>
    <n v="1201057"/>
    <s v="احمد"/>
    <x v="0"/>
    <n v="0"/>
    <s v=" القاهرة الجديده"/>
    <x v="0"/>
    <x v="4"/>
    <x v="0"/>
    <x v="4"/>
    <x v="0"/>
    <s v="٤سرير فردى خشب موسكى الحديد ابيض مقاس ٨٠"/>
    <n v="0"/>
    <n v="0"/>
    <n v="4"/>
    <n v="4"/>
    <n v="31948"/>
    <n v="31948"/>
    <n v="7987"/>
    <s v="حساب شخصى"/>
    <x v="11"/>
    <d v="2024-09-16T00:00:00"/>
    <d v="2024-09-21T00:00:00"/>
    <s v="محمود على"/>
    <s v="تم التسليم"/>
    <n v="-5"/>
    <x v="2"/>
    <x v="0"/>
  </r>
  <r>
    <n v="21"/>
    <n v="1408101"/>
    <n v="1201057"/>
    <s v="احمد"/>
    <x v="0"/>
    <n v="0"/>
    <s v=" القاهرة الجديده"/>
    <x v="0"/>
    <x v="4"/>
    <x v="0"/>
    <x v="4"/>
    <x v="0"/>
    <s v="٤سرير فردى خشب موسكى الحديد ابيض مقاس ٨٠"/>
    <n v="0"/>
    <n v="0"/>
    <n v="4"/>
    <n v="4"/>
    <n v="31948"/>
    <n v="31948"/>
    <n v="7987"/>
    <s v="حساب شخصى"/>
    <x v="11"/>
    <d v="2024-09-16T00:00:00"/>
    <d v="2024-09-21T00:00:00"/>
    <s v="محمود على"/>
    <s v="تم التسليم"/>
    <n v="-5"/>
    <x v="2"/>
    <x v="0"/>
  </r>
  <r>
    <n v="22"/>
    <n v="1513856"/>
    <n v="1231946"/>
    <s v="صفاء"/>
    <x v="0"/>
    <n v="1"/>
    <s v="المعادى"/>
    <x v="0"/>
    <x v="4"/>
    <x v="1"/>
    <x v="7"/>
    <x v="1"/>
    <s v="ترابيزه قهوه علويه جديده "/>
    <n v="1"/>
    <n v="8849"/>
    <n v="1"/>
    <n v="0"/>
    <n v="0"/>
    <n v="8849"/>
    <n v="8849"/>
    <s v="حساب شخصى"/>
    <x v="10"/>
    <d v="2024-10-16T00:00:00"/>
    <m/>
    <s v="لاغى"/>
    <s v="فشل التسليم"/>
    <s v="فشل التسليم"/>
    <x v="2"/>
    <x v="1"/>
  </r>
  <r>
    <n v="23"/>
    <n v="1411691"/>
    <n v="1202775"/>
    <s v="حسن حازم"/>
    <x v="0"/>
    <n v="1"/>
    <s v="أكتوبر "/>
    <x v="0"/>
    <x v="0"/>
    <x v="0"/>
    <x v="4"/>
    <x v="0"/>
    <s v="سرير اسبانى ابيض ١٢٠"/>
    <n v="0"/>
    <n v="0"/>
    <n v="1"/>
    <n v="1"/>
    <n v="10987"/>
    <n v="10987"/>
    <n v="10987"/>
    <s v="حساب شخصى"/>
    <x v="12"/>
    <d v="2024-09-17T00:00:00"/>
    <d v="2024-09-21T00:00:00"/>
    <s v="محمود على"/>
    <s v="تم التسليم"/>
    <n v="-4"/>
    <x v="2"/>
    <x v="0"/>
  </r>
  <r>
    <n v="24"/>
    <n v="17"/>
    <n v="177"/>
    <s v="شيك هومز"/>
    <x v="1"/>
    <n v="0"/>
    <s v="مخزن شيك هومز"/>
    <x v="1"/>
    <x v="4"/>
    <x v="0"/>
    <x v="1"/>
    <x v="0"/>
    <s v="سرير كينج ابيض "/>
    <n v="0"/>
    <n v="0"/>
    <n v="1"/>
    <n v="1"/>
    <n v="9208"/>
    <n v="9208"/>
    <n v="9208"/>
    <s v="حساب شركه"/>
    <x v="7"/>
    <d v="2024-09-19T00:00:00"/>
    <d v="2024-09-21T00:00:00"/>
    <s v="محمود على"/>
    <s v="تم التسليم"/>
    <n v="-2"/>
    <x v="2"/>
    <x v="0"/>
  </r>
  <r>
    <n v="25"/>
    <n v="18"/>
    <n v="188"/>
    <s v="شيك هومز"/>
    <x v="1"/>
    <n v="0"/>
    <s v="مخزن شيك هومز"/>
    <x v="1"/>
    <x v="4"/>
    <x v="0"/>
    <x v="1"/>
    <x v="1"/>
    <s v="سرير كينج اسود "/>
    <n v="0"/>
    <n v="0"/>
    <n v="1"/>
    <n v="1"/>
    <n v="9208"/>
    <n v="9208"/>
    <n v="9208"/>
    <s v="حساب شركه"/>
    <x v="7"/>
    <d v="2024-09-19T00:00:00"/>
    <d v="2024-09-21T00:00:00"/>
    <s v="محمود على"/>
    <s v="تم التسليم"/>
    <n v="-2"/>
    <x v="2"/>
    <x v="0"/>
  </r>
  <r>
    <n v="26"/>
    <n v="20"/>
    <n v="200"/>
    <s v="اوسكار راتن"/>
    <x v="1"/>
    <n v="1"/>
    <s v="مخزن اوسكار في القناطر "/>
    <x v="4"/>
    <x v="5"/>
    <x v="0"/>
    <x v="4"/>
    <x v="0"/>
    <s v=" سريرفورجينا خشب موسكى ابيض مقاس ١٢٠"/>
    <n v="0"/>
    <n v="0"/>
    <n v="1"/>
    <n v="1"/>
    <n v="4020"/>
    <n v="4020"/>
    <n v="4020"/>
    <s v="حساب شركه"/>
    <x v="13"/>
    <d v="2024-09-21T00:00:00"/>
    <d v="2024-09-22T00:00:00"/>
    <s v="محمود على"/>
    <s v="تم التسليم"/>
    <n v="-1"/>
    <x v="2"/>
    <x v="0"/>
  </r>
  <r>
    <n v="27"/>
    <n v="23"/>
    <n v="233"/>
    <s v="اوسكار راتن"/>
    <x v="1"/>
    <n v="0"/>
    <s v="مخزن اوسكار في القناطر "/>
    <x v="4"/>
    <x v="5"/>
    <x v="0"/>
    <x v="4"/>
    <x v="1"/>
    <s v="٢ سرير ارفيل ١٢٠ اسود "/>
    <n v="0"/>
    <n v="0"/>
    <n v="2"/>
    <n v="2"/>
    <n v="8040"/>
    <n v="8040"/>
    <n v="4020"/>
    <s v="حساب شركه"/>
    <x v="13"/>
    <d v="2024-09-21T00:00:00"/>
    <d v="2024-09-22T00:00:00"/>
    <s v="محمود على"/>
    <s v="تم التسليم"/>
    <n v="-1"/>
    <x v="2"/>
    <x v="0"/>
  </r>
  <r>
    <n v="28"/>
    <n v="1509211"/>
    <n v="1230837"/>
    <s v="صفاء الحكيم"/>
    <x v="0"/>
    <n v="1"/>
    <s v="العين السخنه"/>
    <x v="0"/>
    <x v="6"/>
    <x v="0"/>
    <x v="0"/>
    <x v="1"/>
    <s v="سرير منطببق اسود وقماش اسود"/>
    <n v="1"/>
    <n v="9399"/>
    <n v="1"/>
    <n v="0"/>
    <n v="0"/>
    <n v="9399"/>
    <n v="9399"/>
    <s v="حساب شخصى"/>
    <x v="14"/>
    <d v="2024-09-22T00:00:00"/>
    <m/>
    <s v="فشل التسليم "/>
    <s v="فشل التسليم"/>
    <s v="فشل التسليم"/>
    <x v="2"/>
    <x v="1"/>
  </r>
  <r>
    <n v="29"/>
    <n v="1536687"/>
    <n v="1237682"/>
    <s v="يوسف شناوى"/>
    <x v="0"/>
    <n v="1"/>
    <s v="الابراهيميه . الإسكندرية "/>
    <x v="0"/>
    <x v="1"/>
    <x v="1"/>
    <x v="9"/>
    <x v="1"/>
    <s v="ترابيزه قهوه علويه برف سحاب "/>
    <n v="0"/>
    <n v="0"/>
    <n v="1"/>
    <n v="1"/>
    <n v="8349"/>
    <n v="8349"/>
    <n v="8349"/>
    <s v="حساب شخصى"/>
    <x v="14"/>
    <d v="2024-09-22T00:00:00"/>
    <d v="2024-09-24T00:00:00"/>
    <s v="شركة الشحن"/>
    <s v="تم التسليم"/>
    <n v="-2"/>
    <x v="2"/>
    <x v="0"/>
  </r>
  <r>
    <n v="30"/>
    <n v="1520537"/>
    <n v="1233624"/>
    <s v="حاتم العيسوي"/>
    <x v="0"/>
    <n v="1"/>
    <s v="أكتوبر  الجيزة"/>
    <x v="0"/>
    <x v="0"/>
    <x v="0"/>
    <x v="0"/>
    <x v="1"/>
    <s v="سرير منطبق اسود حديد وقماش"/>
    <n v="0"/>
    <n v="0"/>
    <n v="1"/>
    <n v="1"/>
    <n v="9399"/>
    <n v="9399"/>
    <n v="9399"/>
    <s v="حساب شخصى"/>
    <x v="15"/>
    <d v="2024-09-24T00:00:00"/>
    <d v="2024-09-22T00:00:00"/>
    <s v="شركة الشحن"/>
    <s v="تم التسليم"/>
    <n v="2"/>
    <x v="2"/>
    <x v="2"/>
  </r>
  <r>
    <n v="31"/>
    <n v="1422998"/>
    <n v="1207350"/>
    <s v="رنا"/>
    <x v="0"/>
    <n v="1"/>
    <s v="القطاميه "/>
    <x v="0"/>
    <x v="4"/>
    <x v="1"/>
    <x v="7"/>
    <x v="1"/>
    <s v="ترابيزه قهوه علويه جديده "/>
    <n v="0"/>
    <n v="0"/>
    <n v="1"/>
    <n v="1"/>
    <n v="7849"/>
    <n v="7849"/>
    <n v="7849"/>
    <s v="حساب شخصى"/>
    <x v="13"/>
    <d v="2024-09-26T00:00:00"/>
    <d v="2024-09-21T00:00:00"/>
    <s v="شركة الشحن"/>
    <s v="تم التسليم"/>
    <n v="5"/>
    <x v="2"/>
    <x v="2"/>
  </r>
  <r>
    <n v="32"/>
    <n v="24"/>
    <n v="244"/>
    <s v="عبير نور الدين"/>
    <x v="0"/>
    <n v="1"/>
    <s v="١٨ شارع البحيري بولاق الدكرور  الجيزة "/>
    <x v="2"/>
    <x v="0"/>
    <x v="0"/>
    <x v="10"/>
    <x v="1"/>
    <s v="سرير ٣ ادورا اسود مقاس ١٠٠ "/>
    <n v="1"/>
    <n v="9450"/>
    <n v="1"/>
    <n v="0"/>
    <n v="0"/>
    <n v="9450"/>
    <n v="9450"/>
    <s v="حساب شخصى"/>
    <x v="13"/>
    <d v="2024-09-26T00:00:00"/>
    <m/>
    <s v="لاغى"/>
    <s v="فشل التسليم"/>
    <s v="فشل التسليم"/>
    <x v="2"/>
    <x v="1"/>
  </r>
  <r>
    <n v="33"/>
    <n v="1459790"/>
    <n v="1218257"/>
    <s v="اسراء ابو العنين"/>
    <x v="0"/>
    <n v="1"/>
    <s v=" القاهرة الجديده"/>
    <x v="0"/>
    <x v="4"/>
    <x v="0"/>
    <x v="4"/>
    <x v="1"/>
    <s v="سرير اسبانى اسود مقاس ١٢٠"/>
    <n v="0"/>
    <n v="0"/>
    <n v="1"/>
    <n v="1"/>
    <n v="7460"/>
    <n v="7460"/>
    <n v="7460"/>
    <s v="حساب شخصى"/>
    <x v="15"/>
    <d v="2024-09-26T00:00:00"/>
    <d v="2024-10-03T00:00:00"/>
    <s v="محمود على"/>
    <s v="تم التسليم"/>
    <n v="-7"/>
    <x v="2"/>
    <x v="0"/>
  </r>
  <r>
    <n v="34"/>
    <n v="1455486"/>
    <n v="1217163"/>
    <s v="وائل صادق"/>
    <x v="0"/>
    <n v="1"/>
    <s v=" القاهرة الجديده"/>
    <x v="0"/>
    <x v="4"/>
    <x v="0"/>
    <x v="4"/>
    <x v="4"/>
    <s v="سرير كوين مقاس ١٤٠ دهبي ورمادى "/>
    <n v="0"/>
    <n v="0"/>
    <n v="1"/>
    <n v="1"/>
    <n v="9528"/>
    <n v="9528"/>
    <n v="9528"/>
    <s v="حساب شخصى"/>
    <x v="15"/>
    <d v="2024-09-26T00:00:00"/>
    <d v="2024-10-03T00:00:00"/>
    <s v="محمود على"/>
    <s v="تم التسليم"/>
    <n v="-7"/>
    <x v="2"/>
    <x v="0"/>
  </r>
  <r>
    <n v="35"/>
    <n v="1504407"/>
    <n v="1229760"/>
    <s v="حسن مغرب"/>
    <x v="0"/>
    <n v="1"/>
    <s v="أكتوبر  الجيزة"/>
    <x v="0"/>
    <x v="0"/>
    <x v="0"/>
    <x v="1"/>
    <x v="3"/>
    <s v="سرير كيفنج ١٢٠ رمادى "/>
    <n v="0"/>
    <n v="0"/>
    <n v="1"/>
    <n v="1"/>
    <n v="12999"/>
    <n v="12999"/>
    <n v="12999"/>
    <s v="حساب شخصى"/>
    <x v="14"/>
    <d v="2024-09-27T00:00:00"/>
    <d v="2024-10-02T00:00:00"/>
    <s v="محمود على"/>
    <s v="تم التسليم"/>
    <n v="-5"/>
    <x v="2"/>
    <x v="0"/>
  </r>
  <r>
    <n v="36"/>
    <n v="1423361"/>
    <n v="1207484"/>
    <s v="على السيد"/>
    <x v="0"/>
    <n v="1"/>
    <s v="الشروق  القاهرة "/>
    <x v="0"/>
    <x v="4"/>
    <x v="0"/>
    <x v="1"/>
    <x v="1"/>
    <s v="سرير نوفال  ٩٠ اسود "/>
    <n v="0"/>
    <n v="0"/>
    <n v="1"/>
    <n v="1"/>
    <n v="5999"/>
    <n v="5999"/>
    <n v="5999"/>
    <s v="حساب شخصى"/>
    <x v="13"/>
    <d v="2024-09-29T00:00:00"/>
    <d v="2024-09-22T00:00:00"/>
    <s v="محمود على"/>
    <s v="تم التسليم"/>
    <n v="7"/>
    <x v="2"/>
    <x v="2"/>
  </r>
  <r>
    <n v="37"/>
    <n v="1415725"/>
    <n v="1204732"/>
    <s v="هشام بسيونى"/>
    <x v="0"/>
    <n v="1"/>
    <s v="حدايق الاهرام "/>
    <x v="0"/>
    <x v="0"/>
    <x v="0"/>
    <x v="1"/>
    <x v="1"/>
    <s v="            ٢ سرير كيفنج ١٠٠ اسود "/>
    <n v="0"/>
    <n v="0"/>
    <n v="2"/>
    <n v="2"/>
    <n v="23898"/>
    <n v="23898"/>
    <n v="11949"/>
    <s v="حساب شخصى"/>
    <x v="13"/>
    <d v="2024-09-29T00:00:00"/>
    <d v="2024-10-02T00:00:00"/>
    <s v="محمود على"/>
    <s v="تم التسليم"/>
    <n v="-3"/>
    <x v="2"/>
    <x v="0"/>
  </r>
  <r>
    <n v="38"/>
    <n v="1415726"/>
    <n v="1204732"/>
    <s v="هشام بسيونى"/>
    <x v="0"/>
    <n v="0"/>
    <s v="حدايق الاهرام "/>
    <x v="0"/>
    <x v="0"/>
    <x v="0"/>
    <x v="1"/>
    <x v="1"/>
    <s v="            ٢ سرير كيفنج ١٠٠ اسود "/>
    <n v="0"/>
    <n v="0"/>
    <n v="2"/>
    <n v="2"/>
    <n v="23898"/>
    <n v="23898"/>
    <n v="11949"/>
    <s v="حساب شخصى"/>
    <x v="13"/>
    <d v="2024-09-29T00:00:00"/>
    <d v="2024-10-02T00:00:00"/>
    <s v="محمود على"/>
    <s v="تم التسليم"/>
    <n v="-3"/>
    <x v="2"/>
    <x v="0"/>
  </r>
  <r>
    <n v="39"/>
    <n v="1499397"/>
    <n v="1228586"/>
    <s v="احمد"/>
    <x v="0"/>
    <n v="0"/>
    <s v="الشروق"/>
    <x v="0"/>
    <x v="4"/>
    <x v="0"/>
    <x v="10"/>
    <x v="0"/>
    <s v="سرير ٣ ادوار ابيض مقاس ٨٠ ابيض "/>
    <n v="0"/>
    <n v="0"/>
    <n v="1"/>
    <n v="1"/>
    <n v="16599"/>
    <n v="16599"/>
    <n v="16599"/>
    <s v="حساب شخصى"/>
    <x v="15"/>
    <d v="2024-09-30T00:00:00"/>
    <d v="2024-10-03T00:00:00"/>
    <s v="محمود على"/>
    <s v="تم التسليم"/>
    <n v="-3"/>
    <x v="2"/>
    <x v="0"/>
  </r>
  <r>
    <n v="40"/>
    <n v="1458696"/>
    <n v="1217982"/>
    <s v="ساره وجيه"/>
    <x v="0"/>
    <n v="1"/>
    <s v="الغردقه "/>
    <x v="0"/>
    <x v="3"/>
    <x v="0"/>
    <x v="1"/>
    <x v="0"/>
    <s v="سرير كيفنج دورين مقاس ٨٠ ابيض "/>
    <n v="0"/>
    <n v="0"/>
    <n v="1"/>
    <n v="1"/>
    <n v="10999"/>
    <n v="10999"/>
    <n v="10999"/>
    <s v="حساب شخصى"/>
    <x v="15"/>
    <d v="2024-09-30T00:00:00"/>
    <d v="2024-10-16T00:00:00"/>
    <s v="شركة الشحن"/>
    <s v="تم التسليم"/>
    <n v="-16"/>
    <x v="2"/>
    <x v="0"/>
  </r>
  <r>
    <n v="41"/>
    <n v="1480814"/>
    <n v="1223964"/>
    <s v="مها"/>
    <x v="0"/>
    <n v="1"/>
    <s v="لافيستا العين السخنه "/>
    <x v="0"/>
    <x v="6"/>
    <x v="0"/>
    <x v="1"/>
    <x v="2"/>
    <s v="سرير استيل ازرق مقاس ١٤٠"/>
    <n v="0"/>
    <n v="0"/>
    <n v="1"/>
    <n v="1"/>
    <n v="13099"/>
    <n v="13099"/>
    <n v="13099"/>
    <s v="حساب شخصى"/>
    <x v="15"/>
    <d v="2024-09-30T00:00:00"/>
    <d v="2024-10-03T00:00:00"/>
    <s v="شركة الشحن"/>
    <s v="تم التسليم"/>
    <n v="-3"/>
    <x v="2"/>
    <x v="0"/>
  </r>
  <r>
    <n v="42"/>
    <n v="1492471"/>
    <n v="1227052"/>
    <s v="بسام الشربينى"/>
    <x v="0"/>
    <n v="1"/>
    <s v="أكتوبر  الجيزة"/>
    <x v="0"/>
    <x v="0"/>
    <x v="0"/>
    <x v="1"/>
    <x v="5"/>
    <s v="سرير كينج ١٢٠ بنفسجى "/>
    <n v="0"/>
    <n v="0"/>
    <n v="1"/>
    <n v="1"/>
    <n v="13849"/>
    <n v="13849"/>
    <n v="13849"/>
    <s v="حساب شخصى"/>
    <x v="15"/>
    <d v="2024-09-30T00:00:00"/>
    <d v="2024-10-20T00:00:00"/>
    <s v="محمود على"/>
    <s v="تم التسليم"/>
    <n v="-20"/>
    <x v="2"/>
    <x v="0"/>
  </r>
  <r>
    <n v="43"/>
    <n v="1507912"/>
    <n v="1230527"/>
    <s v="هبه عبد الفتاح"/>
    <x v="0"/>
    <n v="1"/>
    <s v=" القاهرة الجديده "/>
    <x v="0"/>
    <x v="4"/>
    <x v="2"/>
    <x v="3"/>
    <x v="1"/>
    <s v="كنبه سرير ٤ حركه "/>
    <n v="0"/>
    <n v="0"/>
    <n v="1"/>
    <n v="1"/>
    <n v="21999"/>
    <n v="21999"/>
    <n v="21999"/>
    <s v="حساب شخصى"/>
    <x v="15"/>
    <d v="2024-09-30T00:00:00"/>
    <d v="2024-09-22T00:00:00"/>
    <s v="محمود على"/>
    <s v="تم التسليم"/>
    <n v="8"/>
    <x v="2"/>
    <x v="2"/>
  </r>
  <r>
    <n v="44"/>
    <n v="1525747"/>
    <n v="1234936"/>
    <s v="اسراء ابراهيم"/>
    <x v="0"/>
    <n v="1"/>
    <s v="أكتوبر  الجيزة"/>
    <x v="0"/>
    <x v="0"/>
    <x v="0"/>
    <x v="1"/>
    <x v="0"/>
    <s v="سرير كيفنج دورين مقاس ٨٠ ابيض "/>
    <n v="0"/>
    <n v="0"/>
    <n v="1"/>
    <n v="1"/>
    <n v="10999"/>
    <n v="10999"/>
    <n v="10999"/>
    <s v="حساب شخصى"/>
    <x v="15"/>
    <d v="2024-09-30T00:00:00"/>
    <d v="2024-10-15T00:00:00"/>
    <s v="محمود على"/>
    <s v="تم التسليم"/>
    <n v="-15"/>
    <x v="2"/>
    <x v="0"/>
  </r>
  <r>
    <n v="45"/>
    <n v="1536313"/>
    <n v="1237601"/>
    <s v="طارق كمال"/>
    <x v="0"/>
    <n v="1"/>
    <s v="المعادى"/>
    <x v="0"/>
    <x v="4"/>
    <x v="0"/>
    <x v="10"/>
    <x v="1"/>
    <s v="سرير ٣ ادوار اسود مقاس ٩٠ "/>
    <n v="0"/>
    <n v="0"/>
    <n v="1"/>
    <n v="1"/>
    <n v="17249"/>
    <n v="17249"/>
    <n v="17249"/>
    <s v="حساب شخصى"/>
    <x v="15"/>
    <d v="2024-09-30T00:00:00"/>
    <d v="2024-10-04T00:00:00"/>
    <s v="محمود على"/>
    <s v="تم التسليم"/>
    <n v="-4"/>
    <x v="2"/>
    <x v="0"/>
  </r>
  <r>
    <n v="46"/>
    <n v="1505609"/>
    <n v="1230031"/>
    <s v="ديفد بهجت"/>
    <x v="0"/>
    <n v="1"/>
    <s v="فيصل  الجيزة"/>
    <x v="0"/>
    <x v="0"/>
    <x v="1"/>
    <x v="7"/>
    <x v="1"/>
    <s v="ترابيزه قهوه ٢ رافع"/>
    <n v="0"/>
    <n v="0"/>
    <n v="1"/>
    <n v="1"/>
    <n v="8349"/>
    <n v="8349"/>
    <n v="8349"/>
    <s v="حساب شخصى"/>
    <x v="14"/>
    <d v="2024-10-16T00:00:00"/>
    <d v="2024-10-21T00:00:00"/>
    <s v="محمود على"/>
    <s v="تم التسليم"/>
    <n v="-5"/>
    <x v="2"/>
    <x v="0"/>
  </r>
  <r>
    <n v="47"/>
    <n v="1612229"/>
    <n v="1254076"/>
    <s v="اياد"/>
    <x v="0"/>
    <n v="1"/>
    <s v="المقطم "/>
    <x v="0"/>
    <x v="4"/>
    <x v="1"/>
    <x v="2"/>
    <x v="1"/>
    <s v="ترابيزه قهوه متحركه "/>
    <n v="0"/>
    <n v="0"/>
    <n v="1"/>
    <n v="1"/>
    <n v="7849"/>
    <n v="7849"/>
    <n v="7849"/>
    <s v="حساب شخصى"/>
    <x v="14"/>
    <d v="2024-10-29T00:00:00"/>
    <d v="2024-10-30T00:00:00"/>
    <s v="محمود على"/>
    <s v="تم التسليم"/>
    <n v="-1"/>
    <x v="2"/>
    <x v="0"/>
  </r>
  <r>
    <n v="48"/>
    <n v="1673771"/>
    <n v="1269559"/>
    <s v="ميار خورشد"/>
    <x v="0"/>
    <n v="1"/>
    <s v="أكتوبر  الجيزة"/>
    <x v="0"/>
    <x v="0"/>
    <x v="0"/>
    <x v="0"/>
    <x v="1"/>
    <s v="سرير منطبق اسود حديد ومعدن "/>
    <n v="0"/>
    <n v="0"/>
    <n v="1"/>
    <n v="1"/>
    <n v="9399"/>
    <n v="9399"/>
    <n v="9399"/>
    <s v="حساب شخصى"/>
    <x v="14"/>
    <d v="2024-10-29T00:00:00"/>
    <d v="2024-10-15T00:00:00"/>
    <s v="محمود على"/>
    <s v="تم التسليم"/>
    <n v="14"/>
    <x v="2"/>
    <x v="2"/>
  </r>
  <r>
    <n v="49"/>
    <n v="1667352"/>
    <n v="1267819"/>
    <s v="عبد الله سيد"/>
    <x v="0"/>
    <n v="1"/>
    <s v="الشيخ زايد ٦ اكتوبر "/>
    <x v="0"/>
    <x v="0"/>
    <x v="0"/>
    <x v="4"/>
    <x v="1"/>
    <s v="سرير اسبانى  ١٤٠ اسود وبيج "/>
    <n v="0"/>
    <n v="0"/>
    <n v="1"/>
    <n v="1"/>
    <n v="11817"/>
    <n v="11817"/>
    <n v="11817"/>
    <s v="حساب شخصى"/>
    <x v="14"/>
    <d v="2024-10-29T00:00:00"/>
    <d v="2024-10-15T00:00:00"/>
    <s v="محمود على"/>
    <s v="تم التسليم"/>
    <n v="14"/>
    <x v="2"/>
    <x v="2"/>
  </r>
  <r>
    <n v="50"/>
    <n v="1649781"/>
    <n v="1263160"/>
    <s v="كينج سونا"/>
    <x v="0"/>
    <n v="1"/>
    <s v="الشروق"/>
    <x v="0"/>
    <x v="4"/>
    <x v="1"/>
    <x v="9"/>
    <x v="1"/>
    <s v="ترابيزه قهوه مرتفعه برف سحاب "/>
    <n v="0"/>
    <n v="0"/>
    <n v="1"/>
    <n v="1"/>
    <n v="8349"/>
    <n v="8349"/>
    <n v="8349"/>
    <s v="حساب شخصى"/>
    <x v="14"/>
    <d v="2024-10-29T00:00:00"/>
    <d v="2024-10-19T00:00:00"/>
    <s v="محمود على"/>
    <s v="تم التسليم"/>
    <n v="10"/>
    <x v="2"/>
    <x v="2"/>
  </r>
  <r>
    <n v="51"/>
    <n v="1681476"/>
    <n v="1271813"/>
    <s v="احمد خالد"/>
    <x v="0"/>
    <n v="1"/>
    <s v="الرحاب"/>
    <x v="0"/>
    <x v="4"/>
    <x v="0"/>
    <x v="4"/>
    <x v="0"/>
    <s v=" سرير فورجينا ابيض مقاس ١٢٠"/>
    <n v="1"/>
    <n v="17886"/>
    <n v="1"/>
    <n v="0"/>
    <n v="0"/>
    <n v="17886"/>
    <n v="17886"/>
    <s v="حساب شخصى"/>
    <x v="14"/>
    <d v="2024-10-29T00:00:00"/>
    <m/>
    <s v="لاغى"/>
    <s v="فشل التسليم"/>
    <s v="فشل التسليم"/>
    <x v="2"/>
    <x v="1"/>
  </r>
  <r>
    <n v="52"/>
    <n v="1681477"/>
    <n v="1271813"/>
    <s v="احمد خالد"/>
    <x v="0"/>
    <n v="0"/>
    <s v="الرحاب"/>
    <x v="0"/>
    <x v="4"/>
    <x v="0"/>
    <x v="4"/>
    <x v="0"/>
    <s v=" سرير فورجينا ابيض مقاس ١٢٠"/>
    <n v="1"/>
    <n v="17886"/>
    <n v="1"/>
    <n v="0"/>
    <n v="0"/>
    <n v="17886"/>
    <n v="17886"/>
    <s v="حساب شخصى"/>
    <x v="14"/>
    <d v="2024-10-29T00:00:00"/>
    <m/>
    <s v="لاغى"/>
    <s v="فشل التسليم"/>
    <s v="فشل التسليم"/>
    <x v="2"/>
    <x v="1"/>
  </r>
  <r>
    <n v="53"/>
    <n v="1677530"/>
    <n v="1270704"/>
    <s v="ساره"/>
    <x v="0"/>
    <n v="1"/>
    <s v=" القاهرة الجديده"/>
    <x v="0"/>
    <x v="4"/>
    <x v="0"/>
    <x v="4"/>
    <x v="0"/>
    <s v="  سرير اسبانى ابيض ١٢٠"/>
    <n v="0"/>
    <n v="0"/>
    <n v="1"/>
    <n v="1"/>
    <n v="10987"/>
    <n v="10987"/>
    <n v="10987"/>
    <s v="حساب شخصى"/>
    <x v="14"/>
    <d v="2024-10-29T00:00:00"/>
    <d v="2024-10-13T00:00:00"/>
    <s v="محمود على"/>
    <s v="تم التسليم"/>
    <n v="16"/>
    <x v="2"/>
    <x v="2"/>
  </r>
  <r>
    <n v="54"/>
    <n v="1677528"/>
    <n v="1270704"/>
    <s v="ساره"/>
    <x v="0"/>
    <n v="0"/>
    <s v=" القاهرة الجديده"/>
    <x v="0"/>
    <x v="4"/>
    <x v="0"/>
    <x v="4"/>
    <x v="0"/>
    <s v=" سرير اسبانى ابيض ١٢٠"/>
    <n v="0"/>
    <n v="0"/>
    <n v="1"/>
    <n v="1"/>
    <n v="10987"/>
    <n v="10987"/>
    <n v="10987"/>
    <s v="حساب شخصى"/>
    <x v="14"/>
    <d v="2024-10-29T00:00:00"/>
    <d v="2024-10-13T00:00:00"/>
    <s v="محمود على"/>
    <s v="تم التسليم"/>
    <n v="16"/>
    <x v="2"/>
    <x v="2"/>
  </r>
  <r>
    <n v="55"/>
    <n v="1657744"/>
    <n v="1265268"/>
    <s v="احمد ايمن"/>
    <x v="0"/>
    <n v="1"/>
    <s v="العبور"/>
    <x v="0"/>
    <x v="5"/>
    <x v="1"/>
    <x v="7"/>
    <x v="1"/>
    <s v="ترابيزه قهوه علويه جديده "/>
    <n v="0"/>
    <n v="0"/>
    <n v="1"/>
    <n v="1"/>
    <n v="10319"/>
    <n v="10319"/>
    <n v="10319"/>
    <s v="حساب شخصى"/>
    <x v="14"/>
    <d v="2024-10-29T00:00:00"/>
    <d v="2024-10-19T00:00:00"/>
    <s v="محمود على"/>
    <s v="تم التسليم"/>
    <n v="10"/>
    <x v="2"/>
    <x v="2"/>
  </r>
  <r>
    <n v="56"/>
    <n v="1610613"/>
    <n v="1253646"/>
    <s v="مصطفي غنيم"/>
    <x v="0"/>
    <n v="1"/>
    <s v="اسيوط "/>
    <x v="0"/>
    <x v="7"/>
    <x v="0"/>
    <x v="1"/>
    <x v="3"/>
    <s v="سرير كيفنج دورين مقاس ١٢٠ رمادى "/>
    <n v="0"/>
    <n v="0"/>
    <n v="1"/>
    <n v="1"/>
    <n v="12999"/>
    <n v="12999"/>
    <n v="12999"/>
    <s v="حساب شخصى"/>
    <x v="14"/>
    <d v="2024-11-20T00:00:00"/>
    <d v="2024-10-17T00:00:00"/>
    <s v="شركة الشحن"/>
    <s v="تم التسليم"/>
    <n v="34"/>
    <x v="2"/>
    <x v="2"/>
  </r>
  <r>
    <n v="57"/>
    <n v="1608468"/>
    <n v="1253172"/>
    <s v="حسام عبدون"/>
    <x v="0"/>
    <n v="1"/>
    <s v="الغردقه"/>
    <x v="0"/>
    <x v="3"/>
    <x v="2"/>
    <x v="3"/>
    <x v="1"/>
    <s v="كنبه سرير ٤ حركه "/>
    <n v="1"/>
    <n v="21999"/>
    <n v="1"/>
    <n v="0"/>
    <n v="0"/>
    <n v="21999"/>
    <n v="21999"/>
    <s v="حساب شخصى"/>
    <x v="14"/>
    <d v="2024-11-20T00:00:00"/>
    <m/>
    <s v="لاغى"/>
    <s v="فشل التسليم"/>
    <s v="فشل التسليم"/>
    <x v="2"/>
    <x v="1"/>
  </r>
  <r>
    <n v="58"/>
    <n v="1654554"/>
    <n v="1264469"/>
    <s v="رامى"/>
    <x v="0"/>
    <n v="1"/>
    <s v="الشروق"/>
    <x v="0"/>
    <x v="4"/>
    <x v="0"/>
    <x v="1"/>
    <x v="3"/>
    <s v="سرير نوفال ١٠٠ رمادى "/>
    <n v="0"/>
    <n v="0"/>
    <n v="1"/>
    <n v="1"/>
    <n v="12399"/>
    <n v="12399"/>
    <n v="12399"/>
    <s v="حساب شخصى"/>
    <x v="14"/>
    <d v="2024-11-20T00:00:00"/>
    <d v="2024-10-01T00:00:00"/>
    <s v="شركة الشحن"/>
    <s v="تم التسليم"/>
    <n v="50"/>
    <x v="2"/>
    <x v="2"/>
  </r>
  <r>
    <n v="59"/>
    <n v="1644504"/>
    <n v="1261644"/>
    <s v="رحاب"/>
    <x v="0"/>
    <n v="1"/>
    <s v=" القاهرة الجديده"/>
    <x v="0"/>
    <x v="4"/>
    <x v="2"/>
    <x v="3"/>
    <x v="1"/>
    <s v="كنبه سرير ٤ حركه "/>
    <n v="0"/>
    <n v="0"/>
    <n v="1"/>
    <n v="1"/>
    <n v="21999"/>
    <n v="21999"/>
    <n v="21999"/>
    <s v="حساب شخصى"/>
    <x v="14"/>
    <d v="2024-11-20T00:00:00"/>
    <d v="2024-10-09T00:00:00"/>
    <s v="محمود على"/>
    <s v="تم التسليم"/>
    <n v="42"/>
    <x v="2"/>
    <x v="2"/>
  </r>
  <r>
    <n v="60"/>
    <n v="1655447"/>
    <n v="1264684"/>
    <s v="فؤاد المنسي"/>
    <x v="0"/>
    <n v="1"/>
    <s v="المقطم "/>
    <x v="0"/>
    <x v="4"/>
    <x v="0"/>
    <x v="1"/>
    <x v="0"/>
    <s v="سرير نوفال مقاس ٨٠ ابيض "/>
    <n v="0"/>
    <n v="0"/>
    <n v="1"/>
    <n v="1"/>
    <n v="10999"/>
    <n v="10999"/>
    <n v="10999"/>
    <s v="حساب شخصى"/>
    <x v="14"/>
    <d v="2024-11-20T00:00:00"/>
    <d v="2024-10-16T00:00:00"/>
    <s v="محمود على"/>
    <s v="تم التسليم"/>
    <n v="35"/>
    <x v="2"/>
    <x v="2"/>
  </r>
  <r>
    <n v="61"/>
    <n v="1679731"/>
    <n v="1271291"/>
    <s v="محمد"/>
    <x v="0"/>
    <n v="1"/>
    <s v="المعادى"/>
    <x v="0"/>
    <x v="4"/>
    <x v="0"/>
    <x v="1"/>
    <x v="0"/>
    <s v="سرير كيفنج دورين ابيض مقاس ٨٠"/>
    <n v="0"/>
    <n v="0"/>
    <n v="1"/>
    <n v="1"/>
    <n v="10999"/>
    <n v="10999"/>
    <n v="10999"/>
    <s v="حساب شخصى"/>
    <x v="16"/>
    <d v="2024-11-20T00:00:00"/>
    <d v="2024-10-16T00:00:00"/>
    <s v="محمود على"/>
    <s v="تم التسليم"/>
    <n v="35"/>
    <x v="2"/>
    <x v="2"/>
  </r>
  <r>
    <n v="62"/>
    <n v="1679739"/>
    <n v="1271291"/>
    <s v="محمد"/>
    <x v="0"/>
    <n v="0"/>
    <s v="المعادى"/>
    <x v="0"/>
    <x v="4"/>
    <x v="0"/>
    <x v="1"/>
    <x v="0"/>
    <s v="سرير كيفنج دورين ابيض مقاس ٨٠"/>
    <n v="0"/>
    <n v="0"/>
    <n v="1"/>
    <n v="1"/>
    <n v="10999"/>
    <n v="10999"/>
    <n v="10999"/>
    <s v="حساب شخصى"/>
    <x v="16"/>
    <d v="2024-11-20T00:00:00"/>
    <d v="2024-10-16T00:00:00"/>
    <s v="محمود على"/>
    <s v="تم التسليم"/>
    <n v="35"/>
    <x v="2"/>
    <x v="2"/>
  </r>
  <r>
    <n v="63"/>
    <n v="1670668"/>
    <n v="1268695"/>
    <s v="محمد أيمن"/>
    <x v="0"/>
    <n v="1"/>
    <s v="مدينة بدر"/>
    <x v="0"/>
    <x v="4"/>
    <x v="2"/>
    <x v="3"/>
    <x v="1"/>
    <s v="كنبه سرير ٤ حركه "/>
    <n v="0"/>
    <n v="0"/>
    <n v="1"/>
    <n v="1"/>
    <n v="21999"/>
    <n v="21999"/>
    <n v="21999"/>
    <s v="حساب شخصى"/>
    <x v="16"/>
    <d v="2024-11-20T00:00:00"/>
    <d v="2024-10-19T00:00:00"/>
    <s v="محمود على"/>
    <s v="تم التسليم"/>
    <n v="32"/>
    <x v="2"/>
    <x v="2"/>
  </r>
  <r>
    <n v="64"/>
    <n v="1416625"/>
    <n v="1205197"/>
    <s v="اسامه"/>
    <x v="0"/>
    <n v="1"/>
    <s v="العين السخنه"/>
    <x v="0"/>
    <x v="6"/>
    <x v="1"/>
    <x v="7"/>
    <x v="1"/>
    <s v="ترابيزه "/>
    <n v="0"/>
    <n v="0"/>
    <n v="1"/>
    <n v="1"/>
    <n v="7849"/>
    <n v="7849"/>
    <n v="7849"/>
    <s v="حساب شخصى"/>
    <x v="17"/>
    <d v="2024-10-30T00:00:00"/>
    <d v="2024-11-14T00:00:00"/>
    <s v="شركة الشحن"/>
    <s v="تم التسليم"/>
    <n v="-15"/>
    <x v="2"/>
    <x v="0"/>
  </r>
  <r>
    <n v="65"/>
    <n v="25"/>
    <n v="255"/>
    <s v="اوسكار راتن"/>
    <x v="1"/>
    <n v="0"/>
    <s v="المخزن ابوالغيط"/>
    <x v="4"/>
    <x v="4"/>
    <x v="0"/>
    <x v="1"/>
    <x v="0"/>
    <s v="سرير كيفنج دورين ابيض مقاس ٨٠"/>
    <n v="0"/>
    <n v="0"/>
    <n v="1"/>
    <n v="1"/>
    <n v="5074"/>
    <n v="5074"/>
    <n v="5074"/>
    <s v="حساب شركه"/>
    <x v="18"/>
    <d v="2024-10-05T00:00:00"/>
    <d v="2024-10-12T00:00:00"/>
    <s v="محمود على"/>
    <s v="تم التسليم"/>
    <n v="-7"/>
    <x v="2"/>
    <x v="0"/>
  </r>
  <r>
    <n v="66"/>
    <n v="2514"/>
    <n v="2514"/>
    <s v="تاكي"/>
    <x v="1"/>
    <n v="0"/>
    <s v="العباسيه"/>
    <x v="3"/>
    <x v="4"/>
    <x v="0"/>
    <x v="1"/>
    <x v="6"/>
    <s v="سرير كيفنج دورين ابيض مقاس ١٠٠"/>
    <n v="0"/>
    <n v="0"/>
    <n v="1"/>
    <n v="1"/>
    <n v="6250"/>
    <n v="6250"/>
    <n v="6250"/>
    <s v="حساب شركه"/>
    <x v="19"/>
    <d v="2024-10-08T00:00:00"/>
    <d v="2024-10-17T00:00:00"/>
    <s v="محمود على"/>
    <s v="تم التسليم"/>
    <n v="-9"/>
    <x v="2"/>
    <x v="0"/>
  </r>
  <r>
    <n v="67"/>
    <n v="1706794"/>
    <n v="1281428"/>
    <s v="ولاء بدوى"/>
    <x v="0"/>
    <n v="1"/>
    <s v="العباسيه"/>
    <x v="0"/>
    <x v="4"/>
    <x v="0"/>
    <x v="4"/>
    <x v="0"/>
    <s v="سرير فردى"/>
    <n v="0"/>
    <n v="0"/>
    <n v="1"/>
    <n v="1"/>
    <n v="8943"/>
    <n v="8943"/>
    <n v="8943"/>
    <s v="حساب شخصى"/>
    <x v="20"/>
    <d v="2024-11-10T00:00:00"/>
    <d v="2024-10-10T00:00:00"/>
    <s v="محمود على"/>
    <s v="تم التسليم"/>
    <n v="31"/>
    <x v="2"/>
    <x v="2"/>
  </r>
  <r>
    <n v="68"/>
    <n v="1704621"/>
    <n v="1280197"/>
    <s v="عبد الرحمن يسري"/>
    <x v="0"/>
    <n v="1"/>
    <s v="أكتوبر  الجيزة"/>
    <x v="0"/>
    <x v="0"/>
    <x v="1"/>
    <x v="9"/>
    <x v="1"/>
    <s v="ترابيزه رف سحاب"/>
    <n v="1"/>
    <n v="8349"/>
    <n v="1"/>
    <n v="0"/>
    <n v="0"/>
    <n v="8349"/>
    <n v="8349"/>
    <s v="حساب شخصى"/>
    <x v="20"/>
    <d v="2024-11-10T00:00:00"/>
    <m/>
    <s v="لاغى"/>
    <s v="فشل التسليم"/>
    <s v="فشل التسليم"/>
    <x v="2"/>
    <x v="1"/>
  </r>
  <r>
    <n v="69"/>
    <n v="240078066"/>
    <n v="5245"/>
    <s v="شيك هومز"/>
    <x v="1"/>
    <n v="0"/>
    <s v="التجمع"/>
    <x v="1"/>
    <x v="4"/>
    <x v="2"/>
    <x v="3"/>
    <x v="1"/>
    <s v="كنبه 4*1"/>
    <n v="0"/>
    <n v="0"/>
    <n v="1"/>
    <n v="1"/>
    <n v="14950"/>
    <n v="14950"/>
    <n v="14950"/>
    <s v="حساب شركه"/>
    <x v="20"/>
    <d v="2024-10-14T00:00:00"/>
    <d v="2024-10-13T00:00:00"/>
    <s v="محمود على"/>
    <s v="تم التسليم"/>
    <n v="1"/>
    <x v="2"/>
    <x v="2"/>
  </r>
  <r>
    <n v="70"/>
    <n v="240077789"/>
    <n v="5525"/>
    <s v="شيك هومز"/>
    <x v="1"/>
    <n v="0"/>
    <s v="مخزن شيك هومز"/>
    <x v="1"/>
    <x v="4"/>
    <x v="0"/>
    <x v="1"/>
    <x v="1"/>
    <s v="سرير دورين"/>
    <n v="1"/>
    <n v="9208"/>
    <n v="1"/>
    <n v="0"/>
    <n v="0"/>
    <n v="9208"/>
    <n v="9208"/>
    <s v="حساب شركه"/>
    <x v="20"/>
    <d v="2024-10-14T00:00:00"/>
    <m/>
    <s v="لاغى"/>
    <s v="فشل التسليم"/>
    <s v="فشل التسليم"/>
    <x v="2"/>
    <x v="1"/>
  </r>
  <r>
    <n v="71"/>
    <n v="240078390"/>
    <n v="56222"/>
    <s v="شيك هومز"/>
    <x v="1"/>
    <n v="0"/>
    <s v="مخزن شيك هومز"/>
    <x v="1"/>
    <x v="4"/>
    <x v="0"/>
    <x v="4"/>
    <x v="0"/>
    <s v="سرير فردى"/>
    <n v="0"/>
    <n v="0"/>
    <n v="1"/>
    <n v="1"/>
    <n v="7433"/>
    <n v="7433"/>
    <n v="7433"/>
    <s v="حساب شركه"/>
    <x v="21"/>
    <d v="2024-10-20T00:00:00"/>
    <d v="2024-10-21T00:00:00"/>
    <s v="محمود على"/>
    <s v="تم التسليم"/>
    <n v="-1"/>
    <x v="2"/>
    <x v="0"/>
  </r>
  <r>
    <n v="72"/>
    <n v="26"/>
    <n v="266"/>
    <s v="اوسكار راتن"/>
    <x v="1"/>
    <n v="0"/>
    <s v="المخزن ابوالغيط"/>
    <x v="4"/>
    <x v="4"/>
    <x v="0"/>
    <x v="4"/>
    <x v="0"/>
    <s v="سرير فردى"/>
    <n v="0"/>
    <n v="0"/>
    <n v="1"/>
    <n v="1"/>
    <n v="4020"/>
    <n v="4020"/>
    <n v="4020"/>
    <s v="حساب شركه"/>
    <x v="21"/>
    <d v="2024-10-12T00:00:00"/>
    <d v="2024-10-12T00:00:00"/>
    <s v="محمود على"/>
    <s v="تم التسليم"/>
    <n v="0"/>
    <x v="2"/>
    <x v="3"/>
  </r>
  <r>
    <n v="73"/>
    <n v="27"/>
    <n v="277"/>
    <s v="الحج محمد السويس"/>
    <x v="0"/>
    <n v="1"/>
    <s v="السويس "/>
    <x v="5"/>
    <x v="6"/>
    <x v="0"/>
    <x v="1"/>
    <x v="6"/>
    <s v="سرير دورين"/>
    <n v="0"/>
    <n v="0"/>
    <n v="1"/>
    <n v="1"/>
    <n v="8544.9054400000005"/>
    <n v="8544.9054400000005"/>
    <n v="8544.9054400000005"/>
    <s v="حساب شخصى"/>
    <x v="22"/>
    <d v="2024-10-09T00:00:00"/>
    <d v="2024-10-09T00:00:00"/>
    <s v="الحج سيد"/>
    <s v="تم التسليم"/>
    <n v="0"/>
    <x v="3"/>
    <x v="3"/>
  </r>
  <r>
    <n v="74"/>
    <n v="28"/>
    <n v="288"/>
    <s v="الحج محمد السويس"/>
    <x v="0"/>
    <n v="0"/>
    <s v="السويس "/>
    <x v="5"/>
    <x v="6"/>
    <x v="0"/>
    <x v="0"/>
    <x v="1"/>
    <s v="سرير منطبق"/>
    <n v="0"/>
    <n v="0"/>
    <n v="1"/>
    <n v="1"/>
    <n v="4600"/>
    <n v="4600"/>
    <n v="4600"/>
    <s v="حساب شخصى"/>
    <x v="22"/>
    <d v="2024-10-09T00:00:00"/>
    <d v="2024-10-09T00:00:00"/>
    <s v="الحج سيد"/>
    <s v="تم التسليم"/>
    <n v="0"/>
    <x v="3"/>
    <x v="3"/>
  </r>
  <r>
    <n v="75"/>
    <n v="29"/>
    <n v="299"/>
    <s v="الحج محمد السويس"/>
    <x v="0"/>
    <n v="0"/>
    <s v="السويس "/>
    <x v="5"/>
    <x v="6"/>
    <x v="2"/>
    <x v="8"/>
    <x v="1"/>
    <s v="كنبه فنسيا"/>
    <n v="0"/>
    <n v="0"/>
    <n v="1"/>
    <n v="1"/>
    <n v="10000"/>
    <n v="10000"/>
    <n v="10000"/>
    <s v="حساب شخصى"/>
    <x v="22"/>
    <d v="2024-10-09T00:00:00"/>
    <d v="2024-10-09T00:00:00"/>
    <s v="الحج سيد"/>
    <s v="تم التسليم"/>
    <n v="0"/>
    <x v="3"/>
    <x v="3"/>
  </r>
  <r>
    <n v="76"/>
    <n v="1282228"/>
    <n v="1708226"/>
    <s v="عمرو الأسود"/>
    <x v="0"/>
    <n v="1"/>
    <s v="الزمالك"/>
    <x v="0"/>
    <x v="4"/>
    <x v="0"/>
    <x v="0"/>
    <x v="1"/>
    <s v="سرير منطبق"/>
    <n v="0"/>
    <n v="0"/>
    <n v="1"/>
    <n v="1"/>
    <n v="8899"/>
    <n v="8899"/>
    <n v="8899"/>
    <s v="حساب شخصى"/>
    <x v="23"/>
    <d v="2024-11-17T00:00:00"/>
    <d v="2024-10-12T00:00:00"/>
    <s v="محمود على"/>
    <s v="تم التسليم"/>
    <n v="36"/>
    <x v="3"/>
    <x v="2"/>
  </r>
  <r>
    <n v="77"/>
    <n v="240079328"/>
    <n v="313"/>
    <s v="شيك هومز"/>
    <x v="1"/>
    <n v="0"/>
    <s v="مخزن شيك هومز"/>
    <x v="1"/>
    <x v="4"/>
    <x v="2"/>
    <x v="3"/>
    <x v="1"/>
    <s v="كنبه 4*1"/>
    <n v="0"/>
    <n v="0"/>
    <n v="1"/>
    <n v="1"/>
    <n v="14550"/>
    <n v="14550"/>
    <n v="14550"/>
    <s v="حساب شركه"/>
    <x v="24"/>
    <d v="2024-10-29T00:00:00"/>
    <d v="2024-10-30T00:00:00"/>
    <s v="محمود على"/>
    <s v="تم التسليم"/>
    <n v="-1"/>
    <x v="3"/>
    <x v="0"/>
  </r>
  <r>
    <n v="78"/>
    <n v="240078933"/>
    <n v="312"/>
    <s v="شيك هومز"/>
    <x v="1"/>
    <n v="0"/>
    <s v="أكتوبر  الجيزة"/>
    <x v="1"/>
    <x v="0"/>
    <x v="2"/>
    <x v="3"/>
    <x v="1"/>
    <s v="كنبه 4*1"/>
    <n v="0"/>
    <n v="0"/>
    <n v="1"/>
    <n v="1"/>
    <n v="14550"/>
    <n v="14550"/>
    <n v="14550"/>
    <s v="حساب شركه"/>
    <x v="25"/>
    <d v="2024-10-29T00:00:00"/>
    <d v="2024-10-15T00:00:00"/>
    <s v="محمود على"/>
    <s v="تم التسليم"/>
    <n v="14"/>
    <x v="3"/>
    <x v="2"/>
  </r>
  <r>
    <n v="79"/>
    <n v="240079517"/>
    <n v="3134"/>
    <s v="شيك هومز"/>
    <x v="1"/>
    <n v="0"/>
    <s v="مخزن شيك هومز"/>
    <x v="1"/>
    <x v="4"/>
    <x v="2"/>
    <x v="3"/>
    <x v="1"/>
    <s v="كنبه 4*1"/>
    <n v="0"/>
    <n v="0"/>
    <n v="1"/>
    <n v="1"/>
    <n v="14550"/>
    <n v="14550"/>
    <n v="14550"/>
    <s v="حساب شركه"/>
    <x v="26"/>
    <d v="2024-10-31T00:00:00"/>
    <d v="2024-11-02T00:00:00"/>
    <s v="محمود على"/>
    <s v="تم التسليم"/>
    <n v="-2"/>
    <x v="3"/>
    <x v="0"/>
  </r>
  <r>
    <n v="80"/>
    <n v="1714623"/>
    <n v="1284697"/>
    <s v="كيرا"/>
    <x v="0"/>
    <n v="1"/>
    <s v=" القاهرة الجديده "/>
    <x v="0"/>
    <x v="4"/>
    <x v="0"/>
    <x v="1"/>
    <x v="7"/>
    <s v="سرير دورين"/>
    <n v="0"/>
    <n v="0"/>
    <n v="1"/>
    <n v="1"/>
    <n v="12899"/>
    <n v="12899"/>
    <n v="12899"/>
    <s v="حساب شخصى"/>
    <x v="27"/>
    <d v="2024-12-17T00:00:00"/>
    <d v="2024-11-02T00:00:00"/>
    <s v="محمود على"/>
    <s v="تم التسليم"/>
    <n v="45"/>
    <x v="3"/>
    <x v="2"/>
  </r>
  <r>
    <n v="81"/>
    <n v="1715473"/>
    <n v="1285152"/>
    <s v="طارق"/>
    <x v="0"/>
    <n v="1"/>
    <s v="مصر الجديده"/>
    <x v="0"/>
    <x v="4"/>
    <x v="0"/>
    <x v="1"/>
    <x v="0"/>
    <s v="سرير دورين"/>
    <n v="0"/>
    <n v="0"/>
    <n v="1"/>
    <n v="1"/>
    <n v="10499"/>
    <n v="10499"/>
    <n v="10499"/>
    <s v="حساب شخصى"/>
    <x v="28"/>
    <d v="2024-12-19T00:00:00"/>
    <d v="2024-10-21T00:00:00"/>
    <s v="محمود على"/>
    <s v="تم التسليم"/>
    <n v="59"/>
    <x v="3"/>
    <x v="2"/>
  </r>
  <r>
    <n v="82"/>
    <n v="1715992"/>
    <n v="1285423"/>
    <s v="ريم"/>
    <x v="0"/>
    <n v="1"/>
    <s v="البطاش اسكندريه"/>
    <x v="0"/>
    <x v="1"/>
    <x v="0"/>
    <x v="1"/>
    <x v="7"/>
    <s v="سرير دورين"/>
    <n v="0"/>
    <n v="0"/>
    <n v="1"/>
    <n v="1"/>
    <n v="12899"/>
    <n v="12899"/>
    <n v="12899"/>
    <s v="حساب شخصى"/>
    <x v="29"/>
    <d v="2024-12-22T00:00:00"/>
    <d v="2024-12-03T00:00:00"/>
    <s v="شركة الشحن"/>
    <s v="تم التسليم"/>
    <n v="19"/>
    <x v="3"/>
    <x v="2"/>
  </r>
  <r>
    <n v="83"/>
    <n v="3163"/>
    <n v="5698"/>
    <s v="هشام سامى"/>
    <x v="0"/>
    <n v="1"/>
    <s v="41 كومبوند جولدن جستس الدور 4 شقه 4"/>
    <x v="6"/>
    <x v="4"/>
    <x v="0"/>
    <x v="4"/>
    <x v="8"/>
    <s v="سرير فردى"/>
    <n v="0"/>
    <n v="0"/>
    <n v="1"/>
    <n v="1"/>
    <n v="5135"/>
    <n v="5135"/>
    <n v="5135"/>
    <s v="حساب شخصى"/>
    <x v="30"/>
    <d v="2024-11-17T00:00:00"/>
    <d v="2024-11-14T00:00:00"/>
    <s v="محمود على"/>
    <s v="تم التسليم"/>
    <n v="3"/>
    <x v="3"/>
    <x v="2"/>
  </r>
  <r>
    <n v="84"/>
    <n v="240080607"/>
    <n v="8755"/>
    <s v="شيك هومز"/>
    <x v="1"/>
    <n v="0"/>
    <s v="أكتوبر  الجيزة"/>
    <x v="1"/>
    <x v="0"/>
    <x v="0"/>
    <x v="1"/>
    <x v="6"/>
    <s v="سرير دورين"/>
    <n v="0"/>
    <n v="0"/>
    <n v="1"/>
    <n v="1"/>
    <n v="12777.5"/>
    <n v="12777.5"/>
    <n v="12777.5"/>
    <s v="حساب شركه"/>
    <x v="31"/>
    <d v="2024-11-12T00:00:00"/>
    <d v="2024-11-18T00:00:00"/>
    <s v="محمود على"/>
    <s v="تم التسليم"/>
    <n v="-6"/>
    <x v="3"/>
    <x v="0"/>
  </r>
  <r>
    <n v="85"/>
    <n v="5648"/>
    <n v="2598"/>
    <s v="اوسكار راتن"/>
    <x v="1"/>
    <n v="0"/>
    <s v="المعرض مدينه نصر"/>
    <x v="4"/>
    <x v="4"/>
    <x v="0"/>
    <x v="1"/>
    <x v="6"/>
    <s v="سرير دورين"/>
    <n v="1"/>
    <n v="8544.91"/>
    <n v="1"/>
    <n v="0"/>
    <n v="0"/>
    <n v="8544.91"/>
    <n v="8544.91"/>
    <s v="حساب شركه"/>
    <x v="31"/>
    <m/>
    <m/>
    <s v="مرفوض"/>
    <s v="فشل التسليم"/>
    <s v="فشل التسليم"/>
    <x v="3"/>
    <x v="1"/>
  </r>
  <r>
    <n v="86"/>
    <n v="1717458"/>
    <n v="1286189"/>
    <s v="فاطمه محمد"/>
    <x v="0"/>
    <n v="1"/>
    <s v="أكتوبر  الجيزة"/>
    <x v="0"/>
    <x v="0"/>
    <x v="0"/>
    <x v="4"/>
    <x v="0"/>
    <s v="سرير فردى"/>
    <n v="0"/>
    <n v="0"/>
    <n v="1"/>
    <n v="1"/>
    <n v="8943"/>
    <n v="8943"/>
    <n v="8943"/>
    <s v="حساب شخصى"/>
    <x v="32"/>
    <d v="2024-11-14T00:00:00"/>
    <d v="2024-11-18T00:00:00"/>
    <s v="محمود على"/>
    <s v="تم التسليم"/>
    <n v="-4"/>
    <x v="3"/>
    <x v="0"/>
  </r>
  <r>
    <n v="87"/>
    <n v="240080858"/>
    <n v="5622"/>
    <s v="شيك هومز"/>
    <x v="1"/>
    <n v="0"/>
    <s v="مخزن شيك هومز"/>
    <x v="1"/>
    <x v="4"/>
    <x v="2"/>
    <x v="3"/>
    <x v="1"/>
    <s v="كنبه 4*1"/>
    <n v="0"/>
    <n v="0"/>
    <n v="1"/>
    <n v="1"/>
    <n v="15516"/>
    <n v="15516"/>
    <n v="15516"/>
    <s v="حساب شركه"/>
    <x v="33"/>
    <d v="2024-11-14T00:00:00"/>
    <d v="2024-10-30T00:00:00"/>
    <s v="محمود على"/>
    <s v="تم التسليم"/>
    <n v="15"/>
    <x v="3"/>
    <x v="2"/>
  </r>
  <r>
    <n v="88"/>
    <n v="240081061"/>
    <n v="2488"/>
    <s v="شيك هومز"/>
    <x v="1"/>
    <n v="0"/>
    <s v="مخزن شيك هومز"/>
    <x v="1"/>
    <x v="4"/>
    <x v="0"/>
    <x v="1"/>
    <x v="1"/>
    <s v="سرير دورين"/>
    <n v="1"/>
    <n v="10045"/>
    <n v="1"/>
    <n v="0"/>
    <n v="0"/>
    <n v="10045"/>
    <n v="10045"/>
    <s v="حساب شركه"/>
    <x v="34"/>
    <d v="2024-11-16T00:00:00"/>
    <m/>
    <s v="لاغى"/>
    <s v="فشل التسليم"/>
    <s v="فشل التسليم"/>
    <x v="3"/>
    <x v="1"/>
  </r>
  <r>
    <n v="89"/>
    <n v="1718948"/>
    <n v="1286883"/>
    <s v="ساره"/>
    <x v="0"/>
    <n v="0"/>
    <s v="الشيخ زايد اكتوبر"/>
    <x v="0"/>
    <x v="0"/>
    <x v="0"/>
    <x v="1"/>
    <x v="1"/>
    <s v="سرير دورين"/>
    <n v="0"/>
    <n v="0"/>
    <n v="1"/>
    <n v="1"/>
    <n v="11649"/>
    <n v="11649"/>
    <n v="11649"/>
    <s v="حساب شخصى"/>
    <x v="34"/>
    <d v="2024-11-10T00:00:00"/>
    <d v="2024-11-18T00:00:00"/>
    <s v="محمود على"/>
    <s v="تم التسليم"/>
    <n v="-8"/>
    <x v="3"/>
    <x v="0"/>
  </r>
  <r>
    <n v="90"/>
    <n v="1718949"/>
    <n v="1286883"/>
    <s v="ساره"/>
    <x v="0"/>
    <n v="0"/>
    <s v="الشيخ زايد اكتوبر"/>
    <x v="0"/>
    <x v="0"/>
    <x v="0"/>
    <x v="1"/>
    <x v="1"/>
    <s v="سرير دورين"/>
    <n v="0"/>
    <n v="0"/>
    <n v="1"/>
    <n v="1"/>
    <n v="11649"/>
    <n v="11649"/>
    <n v="11649"/>
    <s v="حساب شخصى"/>
    <x v="34"/>
    <d v="2024-11-10T00:00:00"/>
    <d v="2024-11-18T00:00:00"/>
    <s v="محمود على"/>
    <s v="تم التسليم"/>
    <n v="-8"/>
    <x v="3"/>
    <x v="0"/>
  </r>
  <r>
    <n v="91"/>
    <n v="9699"/>
    <n v="7822"/>
    <s v="بولا"/>
    <x v="0"/>
    <n v="1"/>
    <s v="المعادى"/>
    <x v="0"/>
    <x v="4"/>
    <x v="0"/>
    <x v="4"/>
    <x v="0"/>
    <s v="سرير فردى"/>
    <n v="0"/>
    <n v="0"/>
    <n v="1"/>
    <n v="1"/>
    <n v="5100"/>
    <n v="5100"/>
    <n v="5100"/>
    <s v="حساب شخصى"/>
    <x v="35"/>
    <d v="2024-11-11T00:00:00"/>
    <d v="2024-11-21T00:00:00"/>
    <s v="محمود على"/>
    <s v="تم التسليم"/>
    <n v="-10"/>
    <x v="3"/>
    <x v="0"/>
  </r>
  <r>
    <n v="92"/>
    <n v="25667"/>
    <n v="6366"/>
    <s v="بولا"/>
    <x v="0"/>
    <n v="0"/>
    <s v="المعادى"/>
    <x v="0"/>
    <x v="4"/>
    <x v="0"/>
    <x v="4"/>
    <x v="0"/>
    <s v="سرير فردى"/>
    <n v="0"/>
    <n v="0"/>
    <n v="1"/>
    <n v="1"/>
    <n v="5300"/>
    <n v="5300"/>
    <n v="5300"/>
    <s v="حساب شخصى"/>
    <x v="35"/>
    <d v="2024-11-11T00:00:00"/>
    <d v="2024-11-21T00:00:00"/>
    <s v="محمود على"/>
    <s v="تم التسليم"/>
    <n v="-10"/>
    <x v="3"/>
    <x v="0"/>
  </r>
  <r>
    <n v="93"/>
    <n v="1744766"/>
    <n v="1298738"/>
    <s v="محمد شكرى"/>
    <x v="0"/>
    <n v="1"/>
    <s v="مدينتى"/>
    <x v="0"/>
    <x v="4"/>
    <x v="0"/>
    <x v="1"/>
    <x v="0"/>
    <s v="سرير دورين"/>
    <n v="0"/>
    <n v="0"/>
    <n v="1"/>
    <n v="1"/>
    <n v="12099"/>
    <n v="12099"/>
    <n v="12099"/>
    <s v="حساب شخصى"/>
    <x v="36"/>
    <d v="2024-11-26T00:00:00"/>
    <d v="2024-11-27T00:00:00"/>
    <s v="محمود على"/>
    <s v="تم التسليم"/>
    <n v="-1"/>
    <x v="4"/>
    <x v="0"/>
  </r>
  <r>
    <n v="94"/>
    <n v="240082226"/>
    <n v="20123"/>
    <s v="شيك هومز"/>
    <x v="1"/>
    <n v="0"/>
    <s v="مخزن شيك هومز"/>
    <x v="1"/>
    <x v="4"/>
    <x v="2"/>
    <x v="3"/>
    <x v="1"/>
    <s v="كنبه 4*1"/>
    <n v="0"/>
    <n v="0"/>
    <n v="1"/>
    <n v="1"/>
    <n v="15872"/>
    <n v="15872"/>
    <n v="15872"/>
    <s v="حساب شركه"/>
    <x v="37"/>
    <d v="2024-11-04T00:00:00"/>
    <d v="2024-11-14T00:00:00"/>
    <s v="محمود على"/>
    <s v="تم التسليم"/>
    <n v="-10"/>
    <x v="4"/>
    <x v="0"/>
  </r>
  <r>
    <n v="95"/>
    <n v="3290"/>
    <n v="859666"/>
    <s v="منزلي"/>
    <x v="1"/>
    <n v="1"/>
    <s v="التجمع الخامس"/>
    <x v="6"/>
    <x v="4"/>
    <x v="0"/>
    <x v="4"/>
    <x v="0"/>
    <s v="سرير فردى"/>
    <n v="0"/>
    <n v="0"/>
    <n v="1"/>
    <n v="1"/>
    <n v="4520"/>
    <n v="4520"/>
    <n v="4520"/>
    <s v="حساب شركه"/>
    <x v="38"/>
    <d v="2024-11-22T00:00:00"/>
    <d v="2024-11-21T00:00:00"/>
    <s v="محمود على"/>
    <s v="تم التسليم"/>
    <n v="1"/>
    <x v="4"/>
    <x v="2"/>
  </r>
  <r>
    <n v="96"/>
    <n v="6725"/>
    <n v="220001"/>
    <s v="اوسكار راتن"/>
    <x v="1"/>
    <n v="0"/>
    <s v="المخزن ابوالغيط"/>
    <x v="4"/>
    <x v="4"/>
    <x v="0"/>
    <x v="1"/>
    <x v="1"/>
    <s v="سرير دورين"/>
    <n v="0"/>
    <n v="0"/>
    <n v="1"/>
    <n v="1"/>
    <n v="5766"/>
    <n v="5766"/>
    <n v="5766"/>
    <s v="حساب شركه"/>
    <x v="39"/>
    <d v="2024-11-26T00:00:00"/>
    <d v="2024-11-25T00:00:00"/>
    <s v="محمود على"/>
    <s v="تم التسليم"/>
    <n v="1"/>
    <x v="4"/>
    <x v="2"/>
  </r>
  <r>
    <n v="97"/>
    <n v="1752544"/>
    <n v="1302011"/>
    <s v="حماده"/>
    <x v="0"/>
    <n v="1"/>
    <s v="المعادى"/>
    <x v="0"/>
    <x v="4"/>
    <x v="0"/>
    <x v="4"/>
    <x v="5"/>
    <s v="سرير فردى"/>
    <n v="0"/>
    <n v="0"/>
    <n v="1"/>
    <n v="1"/>
    <n v="11395"/>
    <n v="11395"/>
    <n v="11395"/>
    <s v="حساب شخصى"/>
    <x v="39"/>
    <d v="2024-11-24T00:00:00"/>
    <d v="2024-11-27T00:00:00"/>
    <s v="محمود على"/>
    <s v="تم التسليم"/>
    <n v="-3"/>
    <x v="4"/>
    <x v="0"/>
  </r>
  <r>
    <n v="98"/>
    <n v="1755075"/>
    <n v="1303159"/>
    <s v="صفاء عبد الباقي"/>
    <x v="0"/>
    <n v="1"/>
    <s v="التجمع الخامس"/>
    <x v="0"/>
    <x v="4"/>
    <x v="0"/>
    <x v="1"/>
    <x v="0"/>
    <s v="سرير دورين"/>
    <n v="0"/>
    <n v="0"/>
    <n v="1"/>
    <n v="1"/>
    <n v="12919"/>
    <n v="12919"/>
    <n v="12919"/>
    <s v="حساب شخصى"/>
    <x v="40"/>
    <d v="2024-11-30T00:00:00"/>
    <d v="2024-11-27T00:00:00"/>
    <s v="محمود على"/>
    <s v="تم التسليم"/>
    <n v="3"/>
    <x v="4"/>
    <x v="2"/>
  </r>
  <r>
    <n v="99"/>
    <n v="6806"/>
    <n v="45888"/>
    <s v="اوسكار راتن"/>
    <x v="1"/>
    <n v="0"/>
    <s v="المخزن ابوالغيط "/>
    <x v="4"/>
    <x v="4"/>
    <x v="0"/>
    <x v="1"/>
    <x v="3"/>
    <s v="سرير دورين"/>
    <n v="0"/>
    <n v="0"/>
    <n v="1"/>
    <n v="1"/>
    <n v="6376"/>
    <n v="6376"/>
    <n v="6376"/>
    <s v="حساب شركه"/>
    <x v="40"/>
    <d v="2024-11-27T00:00:00"/>
    <d v="2024-11-25T00:00:00"/>
    <s v="محمود على"/>
    <s v="تم التسليم"/>
    <n v="2"/>
    <x v="4"/>
    <x v="2"/>
  </r>
  <r>
    <n v="100"/>
    <n v="6626"/>
    <n v="6520"/>
    <s v="اوسكار راتن"/>
    <x v="1"/>
    <n v="0"/>
    <s v="المخزن"/>
    <x v="4"/>
    <x v="4"/>
    <x v="0"/>
    <x v="1"/>
    <x v="1"/>
    <s v="سرير دورين"/>
    <n v="0"/>
    <n v="0"/>
    <n v="1"/>
    <n v="1"/>
    <n v="5294"/>
    <n v="5294"/>
    <n v="5294"/>
    <s v="حساب شركه"/>
    <x v="40"/>
    <d v="2024-11-27T00:00:00"/>
    <d v="2024-11-25T00:00:00"/>
    <s v="محمود على"/>
    <s v="تم التسليم"/>
    <n v="2"/>
    <x v="4"/>
    <x v="2"/>
  </r>
  <r>
    <n v="101"/>
    <n v="265453625"/>
    <n v="78520"/>
    <s v="رندا العامرى"/>
    <x v="0"/>
    <n v="1"/>
    <s v="أكتوبر  الجيزة"/>
    <x v="7"/>
    <x v="0"/>
    <x v="0"/>
    <x v="1"/>
    <x v="0"/>
    <s v="سرير دورين"/>
    <n v="0"/>
    <n v="0"/>
    <n v="1"/>
    <n v="1"/>
    <n v="7396"/>
    <n v="7396"/>
    <n v="7396"/>
    <s v="حساب شخصى"/>
    <x v="41"/>
    <d v="2024-11-28T00:00:00"/>
    <d v="2024-11-26T00:00:00"/>
    <s v="محمود على"/>
    <s v="تم التسليم"/>
    <n v="2"/>
    <x v="4"/>
    <x v="2"/>
  </r>
  <r>
    <n v="102"/>
    <n v="1762617"/>
    <n v="1306879"/>
    <s v="ساره"/>
    <x v="0"/>
    <n v="0"/>
    <s v="أكتوبر  الجيزة"/>
    <x v="0"/>
    <x v="0"/>
    <x v="0"/>
    <x v="1"/>
    <x v="1"/>
    <s v="سرير دورين"/>
    <n v="0"/>
    <n v="0"/>
    <n v="1"/>
    <n v="1"/>
    <n v="13439"/>
    <n v="13439"/>
    <n v="13439"/>
    <s v="حساب شخصى"/>
    <x v="42"/>
    <d v="2024-12-05T00:00:00"/>
    <d v="2024-11-26T00:00:00"/>
    <s v="محمود على"/>
    <s v="تم التسليم"/>
    <n v="9"/>
    <x v="4"/>
    <x v="2"/>
  </r>
  <r>
    <n v="103"/>
    <n v="896302"/>
    <n v="452013"/>
    <s v="تاكي"/>
    <x v="1"/>
    <n v="0"/>
    <s v="العباسيه "/>
    <x v="3"/>
    <x v="4"/>
    <x v="0"/>
    <x v="4"/>
    <x v="1"/>
    <s v="سرير فردى"/>
    <n v="0"/>
    <n v="0"/>
    <n v="1"/>
    <n v="1"/>
    <n v="5100"/>
    <n v="5100"/>
    <n v="5100"/>
    <s v="حساب شركه"/>
    <x v="40"/>
    <d v="2024-12-08T00:00:00"/>
    <d v="2024-11-23T00:00:00"/>
    <s v="محمود على"/>
    <s v="تم التسليم"/>
    <n v="15"/>
    <x v="4"/>
    <x v="2"/>
  </r>
  <r>
    <n v="104"/>
    <n v="21569"/>
    <n v="785210"/>
    <s v="محمد حمدى"/>
    <x v="0"/>
    <n v="1"/>
    <s v="مصر الجديده"/>
    <x v="2"/>
    <x v="4"/>
    <x v="0"/>
    <x v="4"/>
    <x v="4"/>
    <s v="سرير فردى"/>
    <n v="0"/>
    <n v="0"/>
    <n v="1"/>
    <n v="1"/>
    <n v="6000"/>
    <n v="6000"/>
    <n v="6000"/>
    <s v="حساب شخصى"/>
    <x v="43"/>
    <d v="2024-12-02T00:00:00"/>
    <d v="2024-11-27T00:00:00"/>
    <s v="محمود على"/>
    <s v="تم التسليم"/>
    <n v="5"/>
    <x v="4"/>
    <x v="2"/>
  </r>
  <r>
    <n v="105"/>
    <n v="1765451"/>
    <n v="1308241"/>
    <s v="بافلى هانى"/>
    <x v="0"/>
    <n v="1"/>
    <s v="شبرا "/>
    <x v="0"/>
    <x v="4"/>
    <x v="0"/>
    <x v="4"/>
    <x v="3"/>
    <s v="سرير فردى"/>
    <n v="0"/>
    <n v="0"/>
    <n v="1"/>
    <n v="1"/>
    <n v="10885"/>
    <n v="10885"/>
    <n v="10885"/>
    <s v="حساب شخصى"/>
    <x v="44"/>
    <d v="2024-12-05T00:00:00"/>
    <d v="2024-12-10T00:00:00"/>
    <s v="محمود على"/>
    <s v="تم التسليم"/>
    <n v="-5"/>
    <x v="4"/>
    <x v="0"/>
  </r>
  <r>
    <n v="106"/>
    <n v="4586222"/>
    <n v="56988"/>
    <s v="تاكي"/>
    <x v="1"/>
    <n v="0"/>
    <s v="العباسيه "/>
    <x v="3"/>
    <x v="4"/>
    <x v="2"/>
    <x v="11"/>
    <x v="1"/>
    <s v="كنبه t1"/>
    <n v="0"/>
    <n v="0"/>
    <n v="1"/>
    <n v="1"/>
    <n v="6000"/>
    <n v="6000"/>
    <n v="6000"/>
    <s v="حساب شركه"/>
    <x v="45"/>
    <d v="2024-12-05T00:00:00"/>
    <d v="2024-11-20T00:00:00"/>
    <s v=" م محمد "/>
    <s v="تم التسليم"/>
    <n v="15"/>
    <x v="4"/>
    <x v="2"/>
  </r>
  <r>
    <n v="107"/>
    <n v="1782674"/>
    <n v="1315860"/>
    <s v="رنا ميلاد"/>
    <x v="0"/>
    <n v="1"/>
    <s v="جليم الإسكندرية "/>
    <x v="0"/>
    <x v="1"/>
    <x v="1"/>
    <x v="9"/>
    <x v="1"/>
    <s v="ترابيزه "/>
    <n v="0"/>
    <n v="0"/>
    <n v="1"/>
    <n v="1"/>
    <n v="8449"/>
    <n v="8449"/>
    <n v="8449"/>
    <s v="حساب شخصى"/>
    <x v="46"/>
    <d v="2024-12-10T00:00:00"/>
    <d v="2024-12-23T00:00:00"/>
    <s v="شركة الشحن"/>
    <s v="تم التسليم"/>
    <n v="-13"/>
    <x v="4"/>
    <x v="0"/>
  </r>
  <r>
    <n v="108"/>
    <n v="1781530"/>
    <n v="1315450"/>
    <s v="محمد ناجى"/>
    <x v="0"/>
    <n v="1"/>
    <s v="مدينه نصر "/>
    <x v="0"/>
    <x v="4"/>
    <x v="1"/>
    <x v="12"/>
    <x v="0"/>
    <s v="ترابيزه دوران"/>
    <n v="0"/>
    <n v="0"/>
    <n v="1"/>
    <n v="1"/>
    <n v="10249"/>
    <n v="10249"/>
    <n v="10249"/>
    <s v="حساب شخصى"/>
    <x v="46"/>
    <d v="2024-12-10T00:00:00"/>
    <d v="2024-12-19T00:00:00"/>
    <s v="محمود على"/>
    <s v="تم التسليم"/>
    <n v="-9"/>
    <x v="4"/>
    <x v="0"/>
  </r>
  <r>
    <n v="109"/>
    <n v="1795447"/>
    <n v="1321584"/>
    <s v="احمد عبد الستار"/>
    <x v="0"/>
    <n v="1"/>
    <s v="المندره اسكندريه"/>
    <x v="0"/>
    <x v="1"/>
    <x v="0"/>
    <x v="1"/>
    <x v="1"/>
    <s v="سرير دورين"/>
    <n v="1"/>
    <n v="14905"/>
    <n v="1"/>
    <n v="0"/>
    <n v="0"/>
    <n v="14905"/>
    <n v="14905"/>
    <s v="حساب شخصى"/>
    <x v="47"/>
    <d v="2024-12-15T00:00:00"/>
    <m/>
    <s v="لاغى"/>
    <s v="فشل التسليم"/>
    <s v="فشل التسليم"/>
    <x v="4"/>
    <x v="1"/>
  </r>
  <r>
    <n v="110"/>
    <n v="1808440"/>
    <n v="1327172"/>
    <s v="نور"/>
    <x v="0"/>
    <n v="1"/>
    <s v=" القاهرة الجديده"/>
    <x v="0"/>
    <x v="4"/>
    <x v="1"/>
    <x v="12"/>
    <x v="1"/>
    <s v="ترابيزه دوران"/>
    <n v="1"/>
    <n v="10249"/>
    <n v="1"/>
    <n v="0"/>
    <n v="0"/>
    <n v="10249"/>
    <n v="10249"/>
    <s v="حساب شخصى"/>
    <x v="48"/>
    <d v="2024-12-12T00:00:00"/>
    <m/>
    <s v="لاغى"/>
    <s v="فشل التسليم"/>
    <s v="فشل التسليم"/>
    <x v="4"/>
    <x v="1"/>
  </r>
  <r>
    <n v="111"/>
    <n v="1808441"/>
    <n v="1327172"/>
    <s v="نور"/>
    <x v="0"/>
    <n v="0"/>
    <s v=" القاهرة الجديده"/>
    <x v="0"/>
    <x v="4"/>
    <x v="1"/>
    <x v="9"/>
    <x v="1"/>
    <s v="ترابيزه رف سحاب"/>
    <n v="1"/>
    <n v="9029"/>
    <n v="1"/>
    <n v="0"/>
    <n v="0"/>
    <n v="9029"/>
    <n v="9029"/>
    <s v="حساب شخصى"/>
    <x v="48"/>
    <d v="2024-12-12T00:00:00"/>
    <m/>
    <s v="لاغى"/>
    <s v="فشل التسليم"/>
    <s v="فشل التسليم"/>
    <x v="4"/>
    <x v="1"/>
  </r>
  <r>
    <n v="112"/>
    <n v="1805052"/>
    <n v="1325637"/>
    <s v="تامر"/>
    <x v="0"/>
    <n v="1"/>
    <s v="العين السخنه"/>
    <x v="0"/>
    <x v="6"/>
    <x v="1"/>
    <x v="7"/>
    <x v="1"/>
    <s v="ترابيزه 2 ميكانزم"/>
    <n v="0"/>
    <n v="0"/>
    <n v="2"/>
    <n v="2"/>
    <n v="18058"/>
    <n v="18058"/>
    <n v="9029"/>
    <s v="حساب شخصى"/>
    <x v="48"/>
    <d v="2024-12-12T00:00:00"/>
    <d v="2024-12-09T00:00:00"/>
    <s v="محمود على"/>
    <s v="تم التسليم"/>
    <n v="3"/>
    <x v="4"/>
    <x v="2"/>
  </r>
  <r>
    <n v="113"/>
    <n v="1813823"/>
    <n v="1329646"/>
    <s v="هناء اسامه"/>
    <x v="0"/>
    <n v="1"/>
    <s v="القطاميه"/>
    <x v="0"/>
    <x v="4"/>
    <x v="0"/>
    <x v="1"/>
    <x v="0"/>
    <s v="سرير دورين"/>
    <n v="1"/>
    <n v="12099"/>
    <n v="1"/>
    <n v="0"/>
    <n v="0"/>
    <n v="12099"/>
    <n v="12099"/>
    <s v="حساب شخصى"/>
    <x v="49"/>
    <d v="2024-12-17T00:00:00"/>
    <d v="2024-12-09T00:00:00"/>
    <s v="لاغى"/>
    <s v="فشل التسليم"/>
    <s v="فشل التسليم"/>
    <x v="5"/>
    <x v="1"/>
  </r>
  <r>
    <n v="114"/>
    <n v="7152"/>
    <n v="10236"/>
    <s v="اوسكار راتن"/>
    <x v="1"/>
    <n v="0"/>
    <s v="المخزن ابوالغيط"/>
    <x v="4"/>
    <x v="4"/>
    <x v="0"/>
    <x v="1"/>
    <x v="2"/>
    <s v="سرير دورين"/>
    <n v="0"/>
    <n v="0"/>
    <n v="1"/>
    <n v="1"/>
    <n v="5217"/>
    <n v="5217"/>
    <n v="5217"/>
    <s v="حساب شركه"/>
    <x v="50"/>
    <d v="2024-12-14T00:00:00"/>
    <d v="2024-12-10T00:00:00"/>
    <s v="محمود على"/>
    <s v="تم التسليم"/>
    <n v="4"/>
    <x v="5"/>
    <x v="2"/>
  </r>
  <r>
    <n v="115"/>
    <n v="1810950"/>
    <n v="1328141"/>
    <s v="محمد عادل"/>
    <x v="0"/>
    <n v="1"/>
    <s v="العبور"/>
    <x v="0"/>
    <x v="5"/>
    <x v="0"/>
    <x v="0"/>
    <x v="1"/>
    <s v="سرير منطبق"/>
    <n v="0"/>
    <n v="0"/>
    <n v="1"/>
    <n v="1"/>
    <n v="10249"/>
    <n v="10249"/>
    <n v="10249"/>
    <s v="حساب شخصى"/>
    <x v="51"/>
    <d v="2024-12-14T00:00:00"/>
    <d v="2024-12-19T00:00:00"/>
    <s v="محمود على"/>
    <s v="تم التسليم"/>
    <n v="-5"/>
    <x v="5"/>
    <x v="0"/>
  </r>
  <r>
    <n v="116"/>
    <n v="240085463"/>
    <n v="12000"/>
    <s v="مريم عنان"/>
    <x v="0"/>
    <n v="1"/>
    <s v="اب تاون كايرو التجمع "/>
    <x v="1"/>
    <x v="4"/>
    <x v="0"/>
    <x v="1"/>
    <x v="1"/>
    <s v="سرير دورين"/>
    <n v="0"/>
    <n v="0"/>
    <n v="1"/>
    <n v="1"/>
    <n v="10445"/>
    <n v="10445"/>
    <n v="10445"/>
    <s v="حساب شخصى"/>
    <x v="52"/>
    <d v="2024-12-31T00:00:00"/>
    <d v="2024-12-12T00:00:00"/>
    <s v="محمود على"/>
    <s v="تم التسليم"/>
    <n v="19"/>
    <x v="5"/>
    <x v="2"/>
  </r>
  <r>
    <n v="117"/>
    <n v="1818591"/>
    <n v="1332300"/>
    <s v="هبه عطيه"/>
    <x v="0"/>
    <n v="1"/>
    <s v=" القاهرة الجديده"/>
    <x v="0"/>
    <x v="4"/>
    <x v="1"/>
    <x v="12"/>
    <x v="1"/>
    <s v="ترابيزه دوران"/>
    <n v="0"/>
    <n v="0"/>
    <n v="1"/>
    <n v="1"/>
    <n v="11199"/>
    <n v="11199"/>
    <n v="11199"/>
    <s v="حساب شخصى"/>
    <x v="53"/>
    <d v="2024-12-24T00:00:00"/>
    <d v="2024-12-19T00:00:00"/>
    <s v="محمود على"/>
    <s v="تم التسليم"/>
    <n v="5"/>
    <x v="5"/>
    <x v="2"/>
  </r>
  <r>
    <n v="118"/>
    <n v="1818396"/>
    <n v="1332179"/>
    <s v="حمدى ذكرى"/>
    <x v="0"/>
    <n v="1"/>
    <s v="أكتوبر  الجيزة"/>
    <x v="0"/>
    <x v="0"/>
    <x v="0"/>
    <x v="1"/>
    <x v="1"/>
    <s v="سرير نوفال دورين اسود مقاس ٨٠"/>
    <n v="0"/>
    <n v="0"/>
    <n v="1"/>
    <n v="1"/>
    <n v="13099"/>
    <n v="13099"/>
    <n v="13099"/>
    <s v="حساب شخصى"/>
    <x v="53"/>
    <d v="2024-12-28T00:00:00"/>
    <d v="2024-12-29T00:00:00"/>
    <s v="محمود على"/>
    <s v="تم التسليم"/>
    <n v="-1"/>
    <x v="5"/>
    <x v="0"/>
  </r>
  <r>
    <n v="119"/>
    <n v="240085758"/>
    <n v="10000"/>
    <s v="شيك هومز"/>
    <x v="1"/>
    <n v="0"/>
    <s v="مخزن شيك هومز"/>
    <x v="1"/>
    <x v="4"/>
    <x v="2"/>
    <x v="3"/>
    <x v="1"/>
    <s v="كنبه سرير اسود"/>
    <n v="0"/>
    <n v="0"/>
    <n v="1"/>
    <n v="1"/>
    <n v="8700"/>
    <n v="8700"/>
    <n v="8700"/>
    <s v="حساب شركه"/>
    <x v="54"/>
    <d v="2025-01-05T00:00:00"/>
    <d v="2024-12-29T00:00:00"/>
    <s v="محمود على"/>
    <s v="تم التسليم"/>
    <n v="7"/>
    <x v="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41F802-64D9-49D9-8437-F3222CC8ECB2}" name="PivotTable22"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4">
  <location ref="N25:O34" firstHeaderRow="1" firstDataRow="1" firstDataCol="1"/>
  <pivotFields count="31">
    <pivotField showAll="0"/>
    <pivotField showAll="0"/>
    <pivotField showAll="0"/>
    <pivotField showAll="0"/>
    <pivotField showAll="0"/>
    <pivotField showAll="0"/>
    <pivotField showAll="0"/>
    <pivotField axis="axisRow" showAll="0" sortType="descending">
      <items count="9">
        <item x="0"/>
        <item x="6"/>
        <item x="7"/>
        <item x="2"/>
        <item x="1"/>
        <item x="3"/>
        <item x="4"/>
        <item x="5"/>
        <item t="default"/>
      </items>
    </pivotField>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dataField="1" showAll="0"/>
    <pivotField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9">
    <i>
      <x/>
    </i>
    <i>
      <x v="1"/>
    </i>
    <i>
      <x v="2"/>
    </i>
    <i>
      <x v="3"/>
    </i>
    <i>
      <x v="4"/>
    </i>
    <i>
      <x v="5"/>
    </i>
    <i>
      <x v="6"/>
    </i>
    <i>
      <x v="7"/>
    </i>
    <i t="grand">
      <x/>
    </i>
  </rowItems>
  <colItems count="1">
    <i/>
  </colItems>
  <dataFields count="1">
    <dataField name="Sum of الكميات المباعه" fld="16" baseField="0" baseItem="0" numFmtId="1"/>
  </dataFields>
  <formats count="9">
    <format dxfId="39">
      <pivotArea outline="0" collapsedLevelsAreSubtotals="1"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 dxfId="35">
      <pivotArea type="all" dataOnly="0" outline="0" fieldPosition="0"/>
    </format>
    <format dxfId="34">
      <pivotArea dataOnly="0" labelOnly="1" outline="0" axis="axisValues" fieldPosition="0"/>
    </format>
    <format dxfId="33">
      <pivotArea field="28" type="button" dataOnly="0" labelOnly="1" outline="0"/>
    </format>
    <format dxfId="32">
      <pivotArea dataOnly="0" labelOnly="1" fieldPosition="0">
        <references count="1">
          <reference field="7" count="1">
            <x v="5"/>
          </reference>
        </references>
      </pivotArea>
    </format>
    <format dxfId="31">
      <pivotArea outline="0" collapsedLevelsAreSubtotals="1" fieldPosition="0"/>
    </format>
  </formats>
  <chartFormats count="9">
    <chartFormat chart="23" format="11" series="1">
      <pivotArea type="data" outline="0" fieldPosition="0">
        <references count="1">
          <reference field="4294967294" count="1" selected="0">
            <x v="0"/>
          </reference>
        </references>
      </pivotArea>
    </chartFormat>
    <chartFormat chart="23" format="12">
      <pivotArea type="data" outline="0" fieldPosition="0">
        <references count="2">
          <reference field="4294967294" count="1" selected="0">
            <x v="0"/>
          </reference>
          <reference field="7" count="1" selected="0">
            <x v="0"/>
          </reference>
        </references>
      </pivotArea>
    </chartFormat>
    <chartFormat chart="23" format="13">
      <pivotArea type="data" outline="0" fieldPosition="0">
        <references count="2">
          <reference field="4294967294" count="1" selected="0">
            <x v="0"/>
          </reference>
          <reference field="7" count="1" selected="0">
            <x v="1"/>
          </reference>
        </references>
      </pivotArea>
    </chartFormat>
    <chartFormat chart="23" format="14">
      <pivotArea type="data" outline="0" fieldPosition="0">
        <references count="2">
          <reference field="4294967294" count="1" selected="0">
            <x v="0"/>
          </reference>
          <reference field="7" count="1" selected="0">
            <x v="2"/>
          </reference>
        </references>
      </pivotArea>
    </chartFormat>
    <chartFormat chart="23" format="15">
      <pivotArea type="data" outline="0" fieldPosition="0">
        <references count="2">
          <reference field="4294967294" count="1" selected="0">
            <x v="0"/>
          </reference>
          <reference field="7" count="1" selected="0">
            <x v="3"/>
          </reference>
        </references>
      </pivotArea>
    </chartFormat>
    <chartFormat chart="23" format="16">
      <pivotArea type="data" outline="0" fieldPosition="0">
        <references count="2">
          <reference field="4294967294" count="1" selected="0">
            <x v="0"/>
          </reference>
          <reference field="7" count="1" selected="0">
            <x v="4"/>
          </reference>
        </references>
      </pivotArea>
    </chartFormat>
    <chartFormat chart="23" format="17">
      <pivotArea type="data" outline="0" fieldPosition="0">
        <references count="2">
          <reference field="4294967294" count="1" selected="0">
            <x v="0"/>
          </reference>
          <reference field="7" count="1" selected="0">
            <x v="5"/>
          </reference>
        </references>
      </pivotArea>
    </chartFormat>
    <chartFormat chart="23" format="18">
      <pivotArea type="data" outline="0" fieldPosition="0">
        <references count="2">
          <reference field="4294967294" count="1" selected="0">
            <x v="0"/>
          </reference>
          <reference field="7" count="1" selected="0">
            <x v="6"/>
          </reference>
        </references>
      </pivotArea>
    </chartFormat>
    <chartFormat chart="23" format="19">
      <pivotArea type="data" outline="0" fieldPosition="0">
        <references count="2">
          <reference field="4294967294" count="1" selected="0">
            <x v="0"/>
          </reference>
          <reference field="7" count="1" selected="0">
            <x v="7"/>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59A163-5A18-4C5D-8382-D861F9434BFB}" name="PivotTable18"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2:G13" firstHeaderRow="1" firstDataRow="1" firstDataCol="0"/>
  <pivotFields count="31">
    <pivotField showAll="0"/>
    <pivotField showAll="0"/>
    <pivotField showAll="0"/>
    <pivotField dataField="1"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orders" fld="3" subtotal="count" baseField="0" baseItem="0" numFmtId="1"/>
  </dataFields>
  <formats count="7">
    <format dxfId="46">
      <pivotArea outline="0" collapsedLevelsAreSubtotals="1" fieldPosition="0"/>
    </format>
    <format dxfId="45">
      <pivotArea type="all" dataOnly="0" outline="0" fieldPosition="0"/>
    </format>
    <format dxfId="44">
      <pivotArea outline="0" collapsedLevelsAreSubtotals="1" fieldPosition="0"/>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dataOnly="0" labelOnly="1" outline="0" axis="axisValues" fieldPosition="0"/>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4C7593-8108-4400-951E-23111399C5D7}" name="PivotTable2"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38:R39" firstHeaderRow="0" firstDataRow="1" firstDataCol="0"/>
  <pivotFields count="31">
    <pivotField showAll="0"/>
    <pivotField showAll="0"/>
    <pivotField showAll="0"/>
    <pivotField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dataField="1" showAll="0"/>
    <pivotField dataField="1" showAll="0"/>
    <pivotField dataField="1" showAll="0"/>
    <pivotField dataField="1" showAll="0"/>
    <pivotField dataField="1"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sortType="descending">
      <items count="7">
        <item x="5"/>
        <item x="4"/>
        <item x="3"/>
        <item x="2"/>
        <item x="1"/>
        <item x="0"/>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5">
    <i>
      <x/>
    </i>
    <i i="1">
      <x v="1"/>
    </i>
    <i i="2">
      <x v="2"/>
    </i>
    <i i="3">
      <x v="3"/>
    </i>
    <i i="4">
      <x v="4"/>
    </i>
  </colItems>
  <dataFields count="5">
    <dataField name="Sum of جميع الكميات" fld="15" baseField="0" baseItem="0" numFmtId="1"/>
    <dataField name="Sum of الكميات المباعه" fld="16" baseField="0" baseItem="0" numFmtId="1"/>
    <dataField name="Sum of إجمالى المبيعات" fld="17" baseField="0" baseItem="0"/>
    <dataField name="Sum of كميات المبيعات الملغاه" fld="13" baseField="0" baseItem="0" numFmtId="1"/>
    <dataField name="Sum of المبيعات الملغاه" fld="14" baseField="0" baseItem="0"/>
  </dataFields>
  <formats count="9">
    <format dxfId="55">
      <pivotArea outline="0" collapsedLevelsAreSubtotals="1" fieldPosition="0"/>
    </format>
    <format dxfId="54">
      <pivotArea type="all" dataOnly="0" outline="0" fieldPosition="0"/>
    </format>
    <format dxfId="53">
      <pivotArea outline="0" collapsedLevelsAreSubtotals="1" fieldPosition="0"/>
    </format>
    <format dxfId="52">
      <pivotArea dataOnly="0" labelOnly="1" outline="0" axis="axisValues" fieldPosition="0"/>
    </format>
    <format dxfId="51">
      <pivotArea type="all" dataOnly="0" outline="0" fieldPosition="0"/>
    </format>
    <format dxfId="50">
      <pivotArea dataOnly="0" labelOnly="1" outline="0" axis="axisValues" fieldPosition="0"/>
    </format>
    <format dxfId="49">
      <pivotArea field="28" type="button" dataOnly="0" labelOnly="1" outline="0"/>
    </format>
    <format dxfId="48">
      <pivotArea outline="0" collapsedLevelsAreSubtotals="1" fieldPosition="0">
        <references count="1">
          <reference field="4294967294" count="2" selected="0">
            <x v="0"/>
            <x v="1"/>
          </reference>
        </references>
      </pivotArea>
    </format>
    <format dxfId="47">
      <pivotArea outline="0" collapsedLevelsAreSubtotals="1" fieldPosition="0">
        <references count="1">
          <reference field="4294967294" count="1" selected="0">
            <x v="3"/>
          </reference>
        </references>
      </pivotArea>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6ECDEE-DF6E-4819-BE16-DCA332A9AFCA}" name="PivotTable19"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2:K13" firstHeaderRow="1" firstDataRow="1" firstDataCol="0"/>
  <pivotFields count="31">
    <pivotField showAll="0"/>
    <pivotField showAll="0"/>
    <pivotField showAll="0"/>
    <pivotField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showAll="0"/>
    <pivotField showAll="0"/>
    <pivotField dataField="1"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Average of sales" fld="19" subtotal="average" baseField="0" baseItem="0" numFmtId="164"/>
  </dataFields>
  <formats count="7">
    <format dxfId="62">
      <pivotArea outline="0" collapsedLevelsAreSubtotals="1"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 dxfId="58">
      <pivotArea type="all" dataOnly="0" outline="0" fieldPosition="0"/>
    </format>
    <format dxfId="57">
      <pivotArea outline="0" collapsedLevelsAreSubtotals="1" fieldPosition="0"/>
    </format>
    <format dxfId="56">
      <pivotArea dataOnly="0" labelOnly="1" outline="0" axis="axisValues" fieldPosition="0"/>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1066D7-EE20-4FD2-93A9-6ECFA3BAA44F}" name="PivotTable25"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C22:D28" firstHeaderRow="1" firstDataRow="1" firstDataCol="1"/>
  <pivotFields count="31">
    <pivotField showAll="0"/>
    <pivotField showAll="0"/>
    <pivotField showAll="0"/>
    <pivotField showAll="0"/>
    <pivotField showAll="0"/>
    <pivotField showAll="0"/>
    <pivotField showAll="0"/>
    <pivotField showAll="0"/>
    <pivotField showAll="0"/>
    <pivotField axis="axisRow" showAll="0" sortType="descending">
      <items count="6">
        <item x="1"/>
        <item x="3"/>
        <item x="0"/>
        <item x="4"/>
        <item x="2"/>
        <item t="default"/>
      </items>
      <autoSortScope>
        <pivotArea dataOnly="0" outline="0" fieldPosition="0">
          <references count="1">
            <reference field="4294967294" count="1" selected="0">
              <x v="0"/>
            </reference>
          </references>
        </pivotArea>
      </autoSortScope>
    </pivotField>
    <pivotField showAll="0">
      <items count="14">
        <item x="7"/>
        <item x="3"/>
        <item x="11"/>
        <item x="2"/>
        <item x="10"/>
        <item x="12"/>
        <item x="1"/>
        <item x="9"/>
        <item x="5"/>
        <item x="6"/>
        <item x="4"/>
        <item x="8"/>
        <item x="0"/>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6">
    <i>
      <x v="2"/>
    </i>
    <i>
      <x v="4"/>
    </i>
    <i>
      <x/>
    </i>
    <i>
      <x v="1"/>
    </i>
    <i>
      <x v="3"/>
    </i>
    <i t="grand">
      <x/>
    </i>
  </rowItems>
  <colItems count="1">
    <i/>
  </colItems>
  <dataFields count="1">
    <dataField name="Sum of إجمالى المبيعات" fld="17" baseField="0" baseItem="0" numFmtId="164"/>
  </dataFields>
  <formats count="8">
    <format dxfId="70">
      <pivotArea outline="0" collapsedLevelsAreSubtotals="1" fieldPosition="0"/>
    </format>
    <format dxfId="69">
      <pivotArea type="all" dataOnly="0" outline="0" fieldPosition="0"/>
    </format>
    <format dxfId="68">
      <pivotArea outline="0" collapsedLevelsAreSubtotals="1" fieldPosition="0"/>
    </format>
    <format dxfId="67">
      <pivotArea dataOnly="0" labelOnly="1" outline="0" axis="axisValues" fieldPosition="0"/>
    </format>
    <format dxfId="66">
      <pivotArea type="all" dataOnly="0" outline="0" fieldPosition="0"/>
    </format>
    <format dxfId="65">
      <pivotArea dataOnly="0" labelOnly="1" outline="0" axis="axisValues" fieldPosition="0"/>
    </format>
    <format dxfId="64">
      <pivotArea field="28" type="button" dataOnly="0" labelOnly="1" outline="0"/>
    </format>
    <format dxfId="63">
      <pivotArea outline="0" collapsedLevelsAreSubtotals="1" fieldPosition="0"/>
    </format>
  </formats>
  <chartFormats count="7">
    <chartFormat chart="1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6" format="3">
      <pivotArea type="data" outline="0" fieldPosition="0">
        <references count="2">
          <reference field="4294967294" count="1" selected="0">
            <x v="0"/>
          </reference>
          <reference field="9" count="1" selected="0">
            <x v="2"/>
          </reference>
        </references>
      </pivotArea>
    </chartFormat>
    <chartFormat chart="26" format="4">
      <pivotArea type="data" outline="0" fieldPosition="0">
        <references count="2">
          <reference field="4294967294" count="1" selected="0">
            <x v="0"/>
          </reference>
          <reference field="9" count="1" selected="0">
            <x v="4"/>
          </reference>
        </references>
      </pivotArea>
    </chartFormat>
    <chartFormat chart="26" format="5">
      <pivotArea type="data" outline="0" fieldPosition="0">
        <references count="2">
          <reference field="4294967294" count="1" selected="0">
            <x v="0"/>
          </reference>
          <reference field="9" count="1" selected="0">
            <x v="0"/>
          </reference>
        </references>
      </pivotArea>
    </chartFormat>
    <chartFormat chart="26" format="6">
      <pivotArea type="data" outline="0" fieldPosition="0">
        <references count="2">
          <reference field="4294967294" count="1" selected="0">
            <x v="0"/>
          </reference>
          <reference field="9" count="1" selected="0">
            <x v="1"/>
          </reference>
        </references>
      </pivotArea>
    </chartFormat>
    <chartFormat chart="26" format="7">
      <pivotArea type="data" outline="0" fieldPosition="0">
        <references count="2">
          <reference field="4294967294" count="1" selected="0">
            <x v="0"/>
          </reference>
          <reference field="9" count="1" selected="0">
            <x v="3"/>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2C8EF2-C30F-4386-B08F-30CAF713CF31}" name="PivotTable17"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2:C13" firstHeaderRow="1" firstDataRow="1" firstDataCol="0"/>
  <pivotFields count="31">
    <pivotField showAll="0"/>
    <pivotField showAll="0"/>
    <pivotField showAll="0"/>
    <pivotField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dataField="1"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إجمالى المبيعات" fld="17" baseField="0" baseItem="0" numFmtId="164"/>
  </dataFields>
  <formats count="4">
    <format dxfId="74">
      <pivotArea outline="0" collapsedLevelsAreSubtotals="1" fieldPosition="0"/>
    </format>
    <format dxfId="73">
      <pivotArea type="all" dataOnly="0" outline="0" fieldPosition="0"/>
    </format>
    <format dxfId="72">
      <pivotArea outline="0" collapsedLevelsAreSubtotals="1" fieldPosition="0"/>
    </format>
    <format dxfId="71">
      <pivotArea dataOnly="0" labelOnly="1" outline="0" axis="axisValues" fieldPosition="0"/>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8CE6DD-FCA8-4964-88AA-97134807302C}" name="PivotTable26"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C35:D38" firstHeaderRow="1" firstDataRow="1" firstDataCol="1"/>
  <pivotFields count="31">
    <pivotField showAll="0"/>
    <pivotField showAll="0"/>
    <pivotField showAll="0"/>
    <pivotField showAll="0"/>
    <pivotField axis="axisRow" showAll="0">
      <items count="3">
        <item x="0"/>
        <item x="1"/>
        <item t="default"/>
      </items>
    </pivotField>
    <pivotField dataField="1"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Items count="1">
    <i/>
  </colItems>
  <dataFields count="1">
    <dataField name="Sum of نوع العميل بدون تكرار" fld="5" baseField="0" baseItem="0" numFmtId="1"/>
  </dataFields>
  <formats count="8">
    <format dxfId="82">
      <pivotArea outline="0" collapsedLevelsAreSubtotals="1" fieldPosition="0"/>
    </format>
    <format dxfId="81">
      <pivotArea type="all" dataOnly="0" outline="0" fieldPosition="0"/>
    </format>
    <format dxfId="80">
      <pivotArea outline="0" collapsedLevelsAreSubtotals="1" fieldPosition="0"/>
    </format>
    <format dxfId="79">
      <pivotArea dataOnly="0" labelOnly="1" outline="0" axis="axisValues" fieldPosition="0"/>
    </format>
    <format dxfId="78">
      <pivotArea type="all" dataOnly="0" outline="0" fieldPosition="0"/>
    </format>
    <format dxfId="77">
      <pivotArea dataOnly="0" labelOnly="1" outline="0" axis="axisValues" fieldPosition="0"/>
    </format>
    <format dxfId="76">
      <pivotArea field="28" type="button" dataOnly="0" labelOnly="1" outline="0"/>
    </format>
    <format dxfId="75">
      <pivotArea outline="0" collapsedLevelsAreSubtotals="1" fieldPosition="0"/>
    </format>
  </formats>
  <chartFormats count="9">
    <chartFormat chart="41" format="4" series="1">
      <pivotArea type="data" outline="0" fieldPosition="0">
        <references count="1">
          <reference field="4294967294" count="1" selected="0">
            <x v="0"/>
          </reference>
        </references>
      </pivotArea>
    </chartFormat>
    <chartFormat chart="41" format="5">
      <pivotArea type="data" outline="0" fieldPosition="0">
        <references count="2">
          <reference field="4294967294" count="1" selected="0">
            <x v="0"/>
          </reference>
          <reference field="4" count="1" selected="0">
            <x v="0"/>
          </reference>
        </references>
      </pivotArea>
    </chartFormat>
    <chartFormat chart="41" format="6">
      <pivotArea type="data" outline="0" fieldPosition="0">
        <references count="2">
          <reference field="4294967294" count="1" selected="0">
            <x v="0"/>
          </reference>
          <reference field="4" count="1" selected="0">
            <x v="1"/>
          </reference>
        </references>
      </pivotArea>
    </chartFormat>
    <chartFormat chart="44" format="7" series="1">
      <pivotArea type="data" outline="0" fieldPosition="0">
        <references count="1">
          <reference field="4294967294" count="1" selected="0">
            <x v="0"/>
          </reference>
        </references>
      </pivotArea>
    </chartFormat>
    <chartFormat chart="44" format="8">
      <pivotArea type="data" outline="0" fieldPosition="0">
        <references count="2">
          <reference field="4294967294" count="1" selected="0">
            <x v="0"/>
          </reference>
          <reference field="4" count="1" selected="0">
            <x v="0"/>
          </reference>
        </references>
      </pivotArea>
    </chartFormat>
    <chartFormat chart="44" format="9">
      <pivotArea type="data" outline="0" fieldPosition="0">
        <references count="2">
          <reference field="4294967294" count="1" selected="0">
            <x v="0"/>
          </reference>
          <reference field="4" count="1" selected="0">
            <x v="1"/>
          </reference>
        </references>
      </pivotArea>
    </chartFormat>
    <chartFormat chart="45" format="10" series="1">
      <pivotArea type="data" outline="0" fieldPosition="0">
        <references count="1">
          <reference field="4294967294" count="1" selected="0">
            <x v="0"/>
          </reference>
        </references>
      </pivotArea>
    </chartFormat>
    <chartFormat chart="45" format="11">
      <pivotArea type="data" outline="0" fieldPosition="0">
        <references count="2">
          <reference field="4294967294" count="1" selected="0">
            <x v="0"/>
          </reference>
          <reference field="4" count="1" selected="0">
            <x v="0"/>
          </reference>
        </references>
      </pivotArea>
    </chartFormat>
    <chartFormat chart="45" format="12">
      <pivotArea type="data" outline="0" fieldPosition="0">
        <references count="2">
          <reference field="4294967294" count="1" selected="0">
            <x v="0"/>
          </reference>
          <reference field="4" count="1" selected="0">
            <x v="1"/>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76160D-C6CA-4765-9FC0-C3C02657AEC3}" name="PivotTable24"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G22:H32" firstHeaderRow="1" firstDataRow="1" firstDataCol="1"/>
  <pivotFields count="31">
    <pivotField showAll="0"/>
    <pivotField showAll="0"/>
    <pivotField showAll="0"/>
    <pivotField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axis="axisRow" showAll="0" sortType="descending">
      <items count="10">
        <item x="0"/>
        <item x="2"/>
        <item x="1"/>
        <item x="5"/>
        <item x="7"/>
        <item x="4"/>
        <item x="3"/>
        <item x="6"/>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10">
    <i>
      <x v="2"/>
    </i>
    <i>
      <x/>
    </i>
    <i>
      <x v="6"/>
    </i>
    <i>
      <x v="7"/>
    </i>
    <i>
      <x v="4"/>
    </i>
    <i>
      <x v="3"/>
    </i>
    <i>
      <x v="1"/>
    </i>
    <i>
      <x v="5"/>
    </i>
    <i>
      <x v="8"/>
    </i>
    <i t="grand">
      <x/>
    </i>
  </rowItems>
  <colItems count="1">
    <i/>
  </colItems>
  <dataFields count="1">
    <dataField name="Sum of إجمالى المبيعات" fld="17" baseField="0" baseItem="0" numFmtId="164"/>
  </dataFields>
  <formats count="8">
    <format dxfId="90">
      <pivotArea outline="0" collapsedLevelsAreSubtotals="1" fieldPosition="0"/>
    </format>
    <format dxfId="89">
      <pivotArea type="all" dataOnly="0" outline="0" fieldPosition="0"/>
    </format>
    <format dxfId="88">
      <pivotArea outline="0" collapsedLevelsAreSubtotals="1" fieldPosition="0"/>
    </format>
    <format dxfId="87">
      <pivotArea dataOnly="0" labelOnly="1" outline="0" axis="axisValues" fieldPosition="0"/>
    </format>
    <format dxfId="86">
      <pivotArea type="all" dataOnly="0" outline="0" fieldPosition="0"/>
    </format>
    <format dxfId="85">
      <pivotArea dataOnly="0" labelOnly="1" outline="0" axis="axisValues" fieldPosition="0"/>
    </format>
    <format dxfId="84">
      <pivotArea field="28" type="button" dataOnly="0" labelOnly="1" outline="0"/>
    </format>
    <format dxfId="83">
      <pivotArea outline="0" collapsedLevelsAreSubtotals="1" fieldPosition="0"/>
    </format>
  </formats>
  <chartFormats count="13">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1" count="1" selected="0">
            <x v="8"/>
          </reference>
        </references>
      </pivotArea>
    </chartFormat>
    <chartFormat chart="14" format="3">
      <pivotArea type="data" outline="0" fieldPosition="0">
        <references count="2">
          <reference field="4294967294" count="1" selected="0">
            <x v="0"/>
          </reference>
          <reference field="11" count="1" selected="0">
            <x v="2"/>
          </reference>
        </references>
      </pivotArea>
    </chartFormat>
    <chartFormat chart="14" format="4">
      <pivotArea type="data" outline="0" fieldPosition="0">
        <references count="2">
          <reference field="4294967294" count="1" selected="0">
            <x v="0"/>
          </reference>
          <reference field="11" count="1" selected="0">
            <x v="0"/>
          </reference>
        </references>
      </pivotArea>
    </chartFormat>
    <chartFormat chart="14" format="5">
      <pivotArea type="data" outline="0" fieldPosition="0">
        <references count="2">
          <reference field="4294967294" count="1" selected="0">
            <x v="0"/>
          </reference>
          <reference field="11" count="1" selected="0">
            <x v="6"/>
          </reference>
        </references>
      </pivotArea>
    </chartFormat>
    <chartFormat chart="14" format="6">
      <pivotArea type="data" outline="0" fieldPosition="0">
        <references count="2">
          <reference field="4294967294" count="1" selected="0">
            <x v="0"/>
          </reference>
          <reference field="11" count="1" selected="0">
            <x v="7"/>
          </reference>
        </references>
      </pivotArea>
    </chartFormat>
    <chartFormat chart="14" format="7">
      <pivotArea type="data" outline="0" fieldPosition="0">
        <references count="2">
          <reference field="4294967294" count="1" selected="0">
            <x v="0"/>
          </reference>
          <reference field="11" count="1" selected="0">
            <x v="4"/>
          </reference>
        </references>
      </pivotArea>
    </chartFormat>
    <chartFormat chart="14" format="8">
      <pivotArea type="data" outline="0" fieldPosition="0">
        <references count="2">
          <reference field="4294967294" count="1" selected="0">
            <x v="0"/>
          </reference>
          <reference field="11" count="1" selected="0">
            <x v="3"/>
          </reference>
        </references>
      </pivotArea>
    </chartFormat>
    <chartFormat chart="14" format="9">
      <pivotArea type="data" outline="0" fieldPosition="0">
        <references count="2">
          <reference field="4294967294" count="1" selected="0">
            <x v="0"/>
          </reference>
          <reference field="11" count="1" selected="0">
            <x v="1"/>
          </reference>
        </references>
      </pivotArea>
    </chartFormat>
    <chartFormat chart="14" format="10">
      <pivotArea type="data" outline="0" fieldPosition="0">
        <references count="2">
          <reference field="4294967294" count="1" selected="0">
            <x v="0"/>
          </reference>
          <reference field="11" count="1" selected="0">
            <x v="5"/>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6836F2E-7F28-4E82-889F-A637A2F016A8}" name="PivotTable23"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J22:K31" firstHeaderRow="1" firstDataRow="1" firstDataCol="1"/>
  <pivotFields count="31">
    <pivotField showAll="0"/>
    <pivotField showAll="0"/>
    <pivotField showAll="0"/>
    <pivotField showAll="0"/>
    <pivotField showAll="0"/>
    <pivotField showAll="0"/>
    <pivotField showAll="0"/>
    <pivotField showAll="0"/>
    <pivotField axis="axisRow" showAll="0" sortType="descending">
      <items count="9">
        <item x="7"/>
        <item x="1"/>
        <item x="0"/>
        <item x="6"/>
        <item x="3"/>
        <item x="4"/>
        <item x="5"/>
        <item x="2"/>
        <item t="default"/>
      </items>
      <autoSortScope>
        <pivotArea dataOnly="0" outline="0" fieldPosition="0">
          <references count="1">
            <reference field="4294967294" count="1" selected="0">
              <x v="0"/>
            </reference>
          </references>
        </pivotArea>
      </autoSortScope>
    </pivotField>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dataField="1"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9">
    <i>
      <x v="5"/>
    </i>
    <i>
      <x v="2"/>
    </i>
    <i>
      <x v="3"/>
    </i>
    <i>
      <x v="1"/>
    </i>
    <i>
      <x v="6"/>
    </i>
    <i>
      <x v="4"/>
    </i>
    <i>
      <x/>
    </i>
    <i>
      <x v="7"/>
    </i>
    <i t="grand">
      <x/>
    </i>
  </rowItems>
  <colItems count="1">
    <i/>
  </colItems>
  <dataFields count="1">
    <dataField name="Sum of إجمالى المبيعات" fld="17" baseField="0" baseItem="0" numFmtId="165"/>
  </dataFields>
  <formats count="8">
    <format dxfId="98">
      <pivotArea outline="0" collapsedLevelsAreSubtotals="1" fieldPosition="0"/>
    </format>
    <format dxfId="97">
      <pivotArea type="all" dataOnly="0" outline="0" fieldPosition="0"/>
    </format>
    <format dxfId="96">
      <pivotArea outline="0" collapsedLevelsAreSubtotals="1" fieldPosition="0"/>
    </format>
    <format dxfId="95">
      <pivotArea dataOnly="0" labelOnly="1" outline="0" axis="axisValues" fieldPosition="0"/>
    </format>
    <format dxfId="94">
      <pivotArea type="all" dataOnly="0" outline="0" fieldPosition="0"/>
    </format>
    <format dxfId="93">
      <pivotArea dataOnly="0" labelOnly="1" outline="0" axis="axisValues" fieldPosition="0"/>
    </format>
    <format dxfId="92">
      <pivotArea field="28" type="button" dataOnly="0" labelOnly="1" outline="0"/>
    </format>
    <format dxfId="91">
      <pivotArea outline="0" collapsedLevelsAreSubtotals="1" fieldPosition="0"/>
    </format>
  </formats>
  <chartFormats count="3">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8" count="1" selected="0">
            <x v="5"/>
          </reference>
        </references>
      </pivotArea>
    </chartFormat>
    <chartFormat chart="7" format="4">
      <pivotArea type="data" outline="0" fieldPosition="0">
        <references count="2">
          <reference field="4294967294" count="1" selected="0">
            <x v="0"/>
          </reference>
          <reference field="8" count="1" selected="0">
            <x v="2"/>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DA501B-20ED-46EE-857A-BE75359F86FA}" name="PivotTable21"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N12:O17" firstHeaderRow="1" firstDataRow="1" firstDataCol="1"/>
  <pivotFields count="31">
    <pivotField showAll="0"/>
    <pivotField showAll="0"/>
    <pivotField showAll="0"/>
    <pivotField showAll="0"/>
    <pivotField showAll="0"/>
    <pivotField showAll="0"/>
    <pivotField showAll="0"/>
    <pivotField showAll="0"/>
    <pivotField showAll="0"/>
    <pivotField showAll="0"/>
    <pivotField showAll="0">
      <items count="14">
        <item x="7"/>
        <item x="3"/>
        <item x="11"/>
        <item x="2"/>
        <item x="10"/>
        <item x="12"/>
        <item x="1"/>
        <item x="9"/>
        <item x="5"/>
        <item x="6"/>
        <item x="4"/>
        <item x="8"/>
        <item x="0"/>
        <item t="default"/>
      </items>
    </pivotField>
    <pivotField showAll="0"/>
    <pivotField showAll="0"/>
    <pivotField showAll="0"/>
    <pivotField showAll="0"/>
    <pivotField showAll="0"/>
    <pivotField showAll="0"/>
    <pivotField showAll="0"/>
    <pivotField showAll="0"/>
    <pivotField showAll="0"/>
    <pivotField showAll="0"/>
    <pivotField numFmtId="22" showAll="0">
      <items count="56">
        <item x="0"/>
        <item x="1"/>
        <item x="4"/>
        <item x="3"/>
        <item x="5"/>
        <item x="6"/>
        <item x="2"/>
        <item x="7"/>
        <item x="10"/>
        <item x="9"/>
        <item x="8"/>
        <item x="11"/>
        <item x="12"/>
        <item x="13"/>
        <item x="15"/>
        <item x="14"/>
        <item x="16"/>
        <item x="17"/>
        <item x="18"/>
        <item x="19"/>
        <item x="20"/>
        <item x="21"/>
        <item x="22"/>
        <item x="23"/>
        <item x="25"/>
        <item x="24"/>
        <item x="26"/>
        <item x="27"/>
        <item x="28"/>
        <item x="29"/>
        <item x="30"/>
        <item x="32"/>
        <item x="31"/>
        <item x="33"/>
        <item x="34"/>
        <item x="35"/>
        <item x="37"/>
        <item x="38"/>
        <item x="36"/>
        <item x="39"/>
        <item x="40"/>
        <item x="41"/>
        <item x="45"/>
        <item x="42"/>
        <item x="43"/>
        <item x="44"/>
        <item x="46"/>
        <item x="47"/>
        <item x="48"/>
        <item x="50"/>
        <item x="49"/>
        <item x="51"/>
        <item x="52"/>
        <item x="53"/>
        <item x="54"/>
        <item t="default"/>
      </items>
    </pivotField>
    <pivotField showAll="0"/>
    <pivotField showAll="0"/>
    <pivotField showAll="0"/>
    <pivotField showAll="0"/>
    <pivotField showAll="0"/>
    <pivotField showAll="0">
      <items count="7">
        <item x="0"/>
        <item x="1"/>
        <item x="2"/>
        <item x="3"/>
        <item x="4"/>
        <item x="5"/>
        <item t="default"/>
      </items>
    </pivotField>
    <pivotField axis="axisRow" dataField="1"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8"/>
  </rowFields>
  <rowItems count="5">
    <i>
      <x/>
    </i>
    <i>
      <x v="1"/>
    </i>
    <i>
      <x v="2"/>
    </i>
    <i>
      <x v="3"/>
    </i>
    <i t="grand">
      <x/>
    </i>
  </rowItems>
  <colItems count="1">
    <i/>
  </colItems>
  <dataFields count="1">
    <dataField name="% of status" fld="28" subtotal="count" showDataAs="percentOfTotal" baseField="0" baseItem="0" numFmtId="9"/>
  </dataFields>
  <formats count="10">
    <format dxfId="108">
      <pivotArea outline="0" collapsedLevelsAreSubtotals="1" fieldPosition="0"/>
    </format>
    <format dxfId="107">
      <pivotArea type="all" dataOnly="0" outline="0" fieldPosition="0"/>
    </format>
    <format dxfId="106">
      <pivotArea outline="0" collapsedLevelsAreSubtotals="1" fieldPosition="0"/>
    </format>
    <format dxfId="105">
      <pivotArea dataOnly="0" labelOnly="1" outline="0" axis="axisValues" fieldPosition="0"/>
    </format>
    <format dxfId="104">
      <pivotArea type="all" dataOnly="0" outline="0" fieldPosition="0"/>
    </format>
    <format dxfId="103">
      <pivotArea dataOnly="0" labelOnly="1" outline="0" axis="axisValues" fieldPosition="0"/>
    </format>
    <format dxfId="102">
      <pivotArea field="28" type="button" dataOnly="0" labelOnly="1" outline="0" axis="axisRow" fieldPosition="0"/>
    </format>
    <format dxfId="101">
      <pivotArea dataOnly="0" labelOnly="1" fieldPosition="0">
        <references count="1">
          <reference field="28" count="1">
            <x v="0"/>
          </reference>
        </references>
      </pivotArea>
    </format>
    <format dxfId="100">
      <pivotArea outline="0" fieldPosition="0">
        <references count="1">
          <reference field="4294967294" count="1">
            <x v="0"/>
          </reference>
        </references>
      </pivotArea>
    </format>
    <format dxfId="99">
      <pivotArea outline="0" collapsedLevelsAreSubtotals="1" fieldPosition="0"/>
    </format>
  </formats>
  <chartFormats count="5">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28" count="1" selected="0">
            <x v="0"/>
          </reference>
        </references>
      </pivotArea>
    </chartFormat>
    <chartFormat chart="6" format="8">
      <pivotArea type="data" outline="0" fieldPosition="0">
        <references count="2">
          <reference field="4294967294" count="1" selected="0">
            <x v="0"/>
          </reference>
          <reference field="28" count="1" selected="0">
            <x v="1"/>
          </reference>
        </references>
      </pivotArea>
    </chartFormat>
    <chartFormat chart="6" format="9">
      <pivotArea type="data" outline="0" fieldPosition="0">
        <references count="2">
          <reference field="4294967294" count="1" selected="0">
            <x v="0"/>
          </reference>
          <reference field="28" count="1" selected="0">
            <x v="2"/>
          </reference>
        </references>
      </pivotArea>
    </chartFormat>
    <chartFormat chart="6" format="10">
      <pivotArea type="data" outline="0" fieldPosition="0">
        <references count="2">
          <reference field="4294967294" count="1" selected="0">
            <x v="0"/>
          </reference>
          <reference field="28" count="1" selected="0">
            <x v="3"/>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AB749081-B00A-40BB-BC3E-C38CA1C5B268}" autoFormatId="16" applyNumberFormats="0" applyBorderFormats="0" applyFontFormats="0" applyPatternFormats="0" applyAlignmentFormats="0" applyWidthHeightFormats="0">
  <queryTableRefresh nextId="30">
    <queryTableFields count="29">
      <queryTableField id="1" name="1" tableColumnId="1"/>
      <queryTableField id="2" name="رقم العملية" tableColumnId="2"/>
      <queryTableField id="3" name="رقم الطلب" tableColumnId="3"/>
      <queryTableField id="4" name="إسم العميل" tableColumnId="4"/>
      <queryTableField id="5" name="نوع العميل" tableColumnId="5"/>
      <queryTableField id="6" name="نوع العميل بدون تكرار" tableColumnId="6"/>
      <queryTableField id="7" name="العنوان" tableColumnId="7"/>
      <queryTableField id="8" name="منصة البيع" tableColumnId="8"/>
      <queryTableField id="9" name="المحافظة" tableColumnId="9"/>
      <queryTableField id="10" name="إسم المنتج" tableColumnId="10"/>
      <queryTableField id="11" name="نوع المنتج" tableColumnId="11"/>
      <queryTableField id="12" name="لون المعدن" tableColumnId="12"/>
      <queryTableField id="13" name="المنتج" tableColumnId="13"/>
      <queryTableField id="28" dataBound="0" tableColumnId="28"/>
      <queryTableField id="27" dataBound="0" tableColumnId="27"/>
      <queryTableField id="14" name="جميع الكميات" tableColumnId="14"/>
      <queryTableField id="15" name="الكميات المباعه" tableColumnId="15"/>
      <queryTableField id="16" name="إجمالى المبيعات" tableColumnId="16"/>
      <queryTableField id="29" dataBound="0" tableColumnId="29"/>
      <queryTableField id="17" name="سعر البيع " tableColumnId="17"/>
      <queryTableField id="18" name="طريقه الدفع " tableColumnId="18"/>
      <queryTableField id="19" name="ميعاد الطلب" tableColumnId="19"/>
      <queryTableField id="20" name="ميعاد التسليم" tableColumnId="20"/>
      <queryTableField id="21" name="تاريخ التسليم" tableColumnId="21"/>
      <queryTableField id="22" name="المسئول عن التسليم" tableColumnId="22"/>
      <queryTableField id="23" name="الحالة" tableColumnId="23"/>
      <queryTableField id="24" name="فرق التسليم" tableColumnId="24"/>
      <queryTableField id="26" dataBound="0" tableColumnId="26"/>
      <queryTableField id="25" name="حاله التسليم"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شهر_الطلب" xr10:uid="{D02266F4-7121-443B-A3AC-324E2735CD74}" sourceName="شهر الطلب">
  <pivotTables>
    <pivotTable tabId="4" name="PivotTable24"/>
    <pivotTable tabId="4" name="PivotTable17"/>
    <pivotTable tabId="4" name="PivotTable18"/>
    <pivotTable tabId="4" name="PivotTable19"/>
    <pivotTable tabId="4" name="PivotTable2"/>
    <pivotTable tabId="4" name="PivotTable21"/>
    <pivotTable tabId="4" name="PivotTable22"/>
    <pivotTable tabId="4" name="PivotTable23"/>
    <pivotTable tabId="4" name="PivotTable25"/>
    <pivotTable tabId="4" name="PivotTable26"/>
  </pivotTables>
  <data>
    <tabular pivotCacheId="1838501868">
      <items count="6">
        <i x="0" s="1"/>
        <i x="1" s="1"/>
        <i x="2" s="1"/>
        <i x="3"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نوع_المنتج" xr10:uid="{9584D952-DFA3-4D8A-A4CD-265939865488}" sourceName="نوع المنتج">
  <pivotTables>
    <pivotTable tabId="4" name="PivotTable24"/>
    <pivotTable tabId="4" name="PivotTable17"/>
    <pivotTable tabId="4" name="PivotTable18"/>
    <pivotTable tabId="4" name="PivotTable19"/>
    <pivotTable tabId="4" name="PivotTable2"/>
    <pivotTable tabId="4" name="PivotTable21"/>
    <pivotTable tabId="4" name="PivotTable22"/>
    <pivotTable tabId="4" name="PivotTable23"/>
    <pivotTable tabId="4" name="PivotTable25"/>
    <pivotTable tabId="4" name="PivotTable26"/>
  </pivotTables>
  <data>
    <tabular pivotCacheId="1838501868">
      <items count="13">
        <i x="7" s="1"/>
        <i x="3" s="1"/>
        <i x="11" s="1"/>
        <i x="2" s="1"/>
        <i x="10" s="1"/>
        <i x="12" s="1"/>
        <i x="1" s="1"/>
        <i x="9" s="1"/>
        <i x="5" s="1"/>
        <i x="6" s="1"/>
        <i x="4" s="1"/>
        <i x="8"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شهر الطلب" xr10:uid="{657501F2-D850-48CB-9A62-7BC306D4B626}" cache="Slicer_شهر_الطلب" columnCount="6" showCaption="0" rowHeight="247650"/>
  <slicer name="نوع المنتج" xr10:uid="{89AAE871-1116-4B92-96B5-71AB849046B6}" cache="Slicer_نوع_المنتج" caption="نوع المنتج" columnCount="2" showCaption="0"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00ABD1-D679-41E7-A20D-30B6015ECCBD}" name="Table1" displayName="Table1" ref="A1:AC119" totalsRowShown="0">
  <autoFilter ref="A1:AC119" xr:uid="{BF00ABD1-D679-41E7-A20D-30B6015ECCBD}"/>
  <tableColumns count="29">
    <tableColumn id="1" xr3:uid="{2D2148A7-9BC9-49F9-99DA-FBB23C73CA3C}" name="1"/>
    <tableColumn id="2" xr3:uid="{FC39BE4E-6C3F-4B2C-A76A-18BB065F34DB}" name="رقم العملية"/>
    <tableColumn id="3" xr3:uid="{FB6BF7E8-7731-4713-972C-25AD6CC685A6}" name="رقم الطلب"/>
    <tableColumn id="4" xr3:uid="{62149734-348E-4437-ABED-E178DD16BBA9}" name="إسم العميل"/>
    <tableColumn id="5" xr3:uid="{69C025AA-57A0-4CD3-9107-BEADFCA4C8A0}" name="نوع العميل"/>
    <tableColumn id="6" xr3:uid="{B6DC7095-0122-4D46-B6A5-F13D18BBB506}" name="نوع العميل بدون تكرار"/>
    <tableColumn id="7" xr3:uid="{10BDA072-8D39-42CA-A262-644615417DBA}" name="العنوان"/>
    <tableColumn id="8" xr3:uid="{AA54D048-9397-4296-9DC9-99FC7E863D94}" name="منصة البيع"/>
    <tableColumn id="9" xr3:uid="{F8973F04-D815-402C-A66A-1EC3DEA67F1F}" name="المحافظة"/>
    <tableColumn id="10" xr3:uid="{0DBD4C7C-0B52-4623-8BF5-9B9A58026FAC}" name="إسم المنتج"/>
    <tableColumn id="11" xr3:uid="{66B49194-60AF-4562-98BB-5859B6F28774}" name="نوع المنتج"/>
    <tableColumn id="12" xr3:uid="{526770F4-C289-46D3-9A69-D8E832984E01}" name="لون المعدن"/>
    <tableColumn id="13" xr3:uid="{B1091862-5165-43C0-B423-B7BF598AFDB3}" name="المنتج"/>
    <tableColumn id="14" xr3:uid="{A7B776D7-A3EC-4DEE-BDD7-AC310963B8AE}" name="كميات المبيعات الملغاه"/>
    <tableColumn id="15" xr3:uid="{D8404B7D-9025-45F8-ABEB-D124CA3DD039}" name="المبيعات الملغاه"/>
    <tableColumn id="16" xr3:uid="{4868B47D-A3F2-4443-9868-8CBBB90C5993}" name="جميع الكميات"/>
    <tableColumn id="17" xr3:uid="{B1D38DB1-B631-4549-9D0C-BDD0C5BDB00E}" name="الكميات المباعه"/>
    <tableColumn id="18" xr3:uid="{85F9DAAA-5113-4416-904C-5F4CEB842AE9}" name="إجمالى المبيعات"/>
    <tableColumn id="19" xr3:uid="{8A520F08-BA9C-4AB7-94B2-B91C656DE685}" name="المبيعات"/>
    <tableColumn id="20" xr3:uid="{D38A7CF0-0556-4DD2-A2AE-B6BDE1A9E0AB}" name="سعر البيع "/>
    <tableColumn id="21" xr3:uid="{FDF7FE42-EBCC-43EB-AA6D-E0CC7A5DB979}" name="طريقه الدفع "/>
    <tableColumn id="22" xr3:uid="{3EAC2344-8C36-4B1E-B807-29C524BE272A}" name="ميعاد الطلب" dataDxfId="111"/>
    <tableColumn id="23" xr3:uid="{AA20F8FC-56A1-44A9-A00B-C3BA3E8D233F}" name="ميعاد التسليم" dataDxfId="110"/>
    <tableColumn id="24" xr3:uid="{02C6E624-8952-41AB-8EB9-F644AA1059EF}" name="تاريخ التسليم" dataDxfId="109"/>
    <tableColumn id="25" xr3:uid="{F6A12F27-20A3-4669-8973-81357F22FC7C}" name="المسئول عن التسليم"/>
    <tableColumn id="26" xr3:uid="{5917C34E-97CB-4AAD-A96E-13DB8ABCEDD2}" name="الحالة"/>
    <tableColumn id="27" xr3:uid="{53C339C2-3BF8-4552-A8C7-5CA6F250970F}" name="فرق التسليم"/>
    <tableColumn id="28" xr3:uid="{1BDD732A-17DE-4017-A340-CE4333A2A46F}" name="شهر الطلب"/>
    <tableColumn id="29" xr3:uid="{C2105333-42AC-4B88-91A3-AC854651EB99}" name="حاله التسليم"/>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39E591-38E6-4BFD-8402-437294C8DE48}" name="Data_1" displayName="Data_1" ref="B1:AD119" tableType="queryTable" totalsRowShown="0" headerRowDxfId="30" dataDxfId="29">
  <autoFilter ref="B1:AD119" xr:uid="{1439E591-38E6-4BFD-8402-437294C8DE48}"/>
  <tableColumns count="29">
    <tableColumn id="1" xr3:uid="{F7B928B6-3115-4F17-81D7-E3468D301070}" uniqueName="1" name="2" queryTableFieldId="1" dataDxfId="28"/>
    <tableColumn id="2" xr3:uid="{7C1E8427-71BC-40DC-B617-A62F346E75F9}" uniqueName="2" name="رقم العملية" queryTableFieldId="2" dataDxfId="27"/>
    <tableColumn id="3" xr3:uid="{B1948FFA-B748-41E2-9ACF-EDD423E5282A}" uniqueName="3" name="رقم الطلب" queryTableFieldId="3" dataDxfId="26"/>
    <tableColumn id="4" xr3:uid="{243A2141-C203-4DE7-8864-CAB2C26A8AE2}" uniqueName="4" name="إسم العميل" queryTableFieldId="4" dataDxfId="25"/>
    <tableColumn id="5" xr3:uid="{FDE5A26E-5A27-4260-9293-F96813797F3D}" uniqueName="5" name="نوع العميل" queryTableFieldId="5" dataDxfId="24"/>
    <tableColumn id="6" xr3:uid="{C9D5131B-6859-44B7-AEF5-EF519A739784}" uniqueName="6" name="نوع العميل بدون تكرار" queryTableFieldId="6" dataDxfId="23"/>
    <tableColumn id="7" xr3:uid="{C0D15BF7-F047-4BAB-95E6-1C4E7276A544}" uniqueName="7" name="العنوان" queryTableFieldId="7" dataDxfId="22"/>
    <tableColumn id="8" xr3:uid="{04C16856-0515-463E-B9C0-2C4B51ABB6DE}" uniqueName="8" name="منصة البيع" queryTableFieldId="8" dataDxfId="21"/>
    <tableColumn id="9" xr3:uid="{1D7A3FFB-482D-4CEB-BFD0-C8B0A6E48B84}" uniqueName="9" name="المحافظة" queryTableFieldId="9" dataDxfId="20"/>
    <tableColumn id="10" xr3:uid="{99FA4071-EF98-4CF7-8955-CD4F70BDBDE3}" uniqueName="10" name="إسم المنتج" queryTableFieldId="10" dataDxfId="19"/>
    <tableColumn id="11" xr3:uid="{082D4238-8D22-4761-A0B3-9190D44AB1D8}" uniqueName="11" name="نوع المنتج" queryTableFieldId="11" dataDxfId="18"/>
    <tableColumn id="12" xr3:uid="{DC07A745-E6E5-436F-9FD9-9F7BC53BF9E0}" uniqueName="12" name="لون المعدن" queryTableFieldId="12" dataDxfId="17"/>
    <tableColumn id="13" xr3:uid="{8A7A1775-87A8-4F73-BB6D-0F2CE0A33D8B}" uniqueName="13" name="المنتج" queryTableFieldId="13" dataDxfId="16"/>
    <tableColumn id="28" xr3:uid="{8AC235A5-3E3D-44EE-947A-FEADD143A7BE}" uniqueName="28" name="كميات المبيعات الملغاه" queryTableFieldId="28" dataDxfId="15"/>
    <tableColumn id="27" xr3:uid="{7FACF602-65B2-45BE-A345-B3E2DECC73BE}" uniqueName="27" name="المبيعات الملغاه" queryTableFieldId="27" dataDxfId="14"/>
    <tableColumn id="14" xr3:uid="{A0A112C8-F1AA-4FDB-AF48-320D5DDE8A3E}" uniqueName="14" name="جميع الكميات" queryTableFieldId="14" dataDxfId="13"/>
    <tableColumn id="15" xr3:uid="{2DECF20F-F541-480D-91EB-68A67BDAE4A8}" uniqueName="15" name="الكميات المباعه" queryTableFieldId="15" dataDxfId="12"/>
    <tableColumn id="16" xr3:uid="{8FD23D9C-45C5-4853-969C-EFB58E00CCB3}" uniqueName="16" name="إجمالى المبيعات" queryTableFieldId="16" dataDxfId="11"/>
    <tableColumn id="29" xr3:uid="{DB87C794-4F24-4976-9888-9483EE0B59F0}" uniqueName="29" name="المبيعات" queryTableFieldId="29" dataDxfId="10">
      <calculatedColumnFormula>Data_1[[#This Row],[سعر البيع ]]*Data_1[[#This Row],[جميع الكميات]]</calculatedColumnFormula>
    </tableColumn>
    <tableColumn id="17" xr3:uid="{46B82E1B-D591-4D9F-BE5B-5CDC1F1185B0}" uniqueName="17" name="سعر البيع " queryTableFieldId="17" dataDxfId="9"/>
    <tableColumn id="18" xr3:uid="{B3CF3B42-7787-4656-B745-E509969776F3}" uniqueName="18" name="طريقه الدفع " queryTableFieldId="18" dataDxfId="8"/>
    <tableColumn id="19" xr3:uid="{D5105AC0-5BE5-4216-B7AC-3935182EBAC9}" uniqueName="19" name="ميعاد الطلب" queryTableFieldId="19" dataDxfId="7"/>
    <tableColumn id="20" xr3:uid="{C1407060-C330-49A9-94C8-3E28327B8C00}" uniqueName="20" name="ميعاد التسليم" queryTableFieldId="20" dataDxfId="6"/>
    <tableColumn id="21" xr3:uid="{68AE16B0-1EF4-457D-AD98-65454F2EC349}" uniqueName="21" name="تاريخ التسليم" queryTableFieldId="21" dataDxfId="5"/>
    <tableColumn id="22" xr3:uid="{0BCC574F-7367-4CD1-B28F-F133C9DE0099}" uniqueName="22" name="المسئول عن التسليم" queryTableFieldId="22" dataDxfId="4"/>
    <tableColumn id="23" xr3:uid="{CCE9FD8A-8A40-436D-A790-442A138C40BA}" uniqueName="23" name="الحالة" queryTableFieldId="23" dataDxfId="3"/>
    <tableColumn id="24" xr3:uid="{A639637E-B442-4C58-808B-2B3904874A42}" uniqueName="24" name="فرق التسليم" queryTableFieldId="24" dataDxfId="2"/>
    <tableColumn id="26" xr3:uid="{D87CE4C0-7A1B-4642-AE20-A3284D413687}" uniqueName="26" name="شهر الطلب" queryTableFieldId="26" dataDxfId="1">
      <calculatedColumnFormula>TEXT(Data_1[[#This Row],[ميعاد الطلب]],"MMMM")</calculatedColumnFormula>
    </tableColumn>
    <tableColumn id="25" xr3:uid="{43F080D9-9112-4CDF-A860-B4C94E6B59FF}" uniqueName="25" name="حاله التسليم" queryTableFieldId="25" dataDxfId="0"/>
  </tableColumns>
  <tableStyleInfo name="TableStyleDark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CBFAF-A1E5-4983-8C54-13D44DE77E6F}">
  <sheetPr codeName="Sheet1">
    <tabColor rgb="FFFFFF00"/>
  </sheetPr>
  <dimension ref="A1"/>
  <sheetViews>
    <sheetView showGridLines="0" showRowColHeaders="0" zoomScaleNormal="100" workbookViewId="0"/>
  </sheetViews>
  <sheetFormatPr defaultRowHeight="14.4" x14ac:dyDescent="0.3"/>
  <cols>
    <col min="1" max="16384" width="8.8867187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2AF9B-F319-4A2E-B9A8-7CDD177BC6ED}">
  <sheetPr codeName="Sheet7"/>
  <dimension ref="A1:AC119"/>
  <sheetViews>
    <sheetView workbookViewId="0">
      <selection activeCell="I15" sqref="I15"/>
    </sheetView>
  </sheetViews>
  <sheetFormatPr defaultRowHeight="14.4" x14ac:dyDescent="0.3"/>
  <cols>
    <col min="2" max="2" width="9.6640625" customWidth="1"/>
    <col min="3" max="3" width="9.21875" customWidth="1"/>
    <col min="4" max="4" width="9.5546875" customWidth="1"/>
    <col min="5" max="5" width="9.77734375" customWidth="1"/>
    <col min="6" max="6" width="17.5546875" customWidth="1"/>
    <col min="8" max="8" width="10" customWidth="1"/>
    <col min="10" max="10" width="9.6640625" customWidth="1"/>
    <col min="11" max="11" width="9.88671875" customWidth="1"/>
    <col min="12" max="12" width="10" customWidth="1"/>
    <col min="14" max="14" width="16.88671875" customWidth="1"/>
    <col min="15" max="15" width="12.5546875" customWidth="1"/>
    <col min="16" max="16" width="11.33203125" customWidth="1"/>
    <col min="17" max="17" width="12.6640625" customWidth="1"/>
    <col min="18" max="18" width="12.88671875" customWidth="1"/>
    <col min="20" max="20" width="9.44140625" customWidth="1"/>
    <col min="21" max="21" width="10.6640625" customWidth="1"/>
    <col min="22" max="22" width="10.21875" customWidth="1"/>
    <col min="23" max="23" width="10.88671875" customWidth="1"/>
    <col min="24" max="24" width="11.33203125" customWidth="1"/>
    <col min="25" max="25" width="15.77734375" customWidth="1"/>
    <col min="27" max="27" width="10.44140625" customWidth="1"/>
    <col min="28" max="28" width="10.109375" customWidth="1"/>
    <col min="29" max="29" width="10.44140625" customWidth="1"/>
  </cols>
  <sheetData>
    <row r="1" spans="1:29" x14ac:dyDescent="0.3">
      <c r="A1" t="s">
        <v>294</v>
      </c>
      <c r="B1" t="s">
        <v>3</v>
      </c>
      <c r="C1" t="s">
        <v>4</v>
      </c>
      <c r="D1" t="s">
        <v>238</v>
      </c>
      <c r="E1" t="s">
        <v>277</v>
      </c>
      <c r="F1" t="s">
        <v>279</v>
      </c>
      <c r="G1" t="s">
        <v>5</v>
      </c>
      <c r="H1" t="s">
        <v>236</v>
      </c>
      <c r="I1" t="s">
        <v>6</v>
      </c>
      <c r="J1" t="s">
        <v>7</v>
      </c>
      <c r="K1" t="s">
        <v>8</v>
      </c>
      <c r="L1" t="s">
        <v>9</v>
      </c>
      <c r="M1" t="s">
        <v>10</v>
      </c>
      <c r="N1" t="s">
        <v>287</v>
      </c>
      <c r="O1" t="s">
        <v>286</v>
      </c>
      <c r="P1" t="s">
        <v>282</v>
      </c>
      <c r="Q1" t="s">
        <v>283</v>
      </c>
      <c r="R1" t="s">
        <v>280</v>
      </c>
      <c r="S1" t="s">
        <v>292</v>
      </c>
      <c r="T1" t="s">
        <v>11</v>
      </c>
      <c r="U1" t="s">
        <v>12</v>
      </c>
      <c r="V1" t="s">
        <v>13</v>
      </c>
      <c r="W1" t="s">
        <v>14</v>
      </c>
      <c r="X1" t="s">
        <v>15</v>
      </c>
      <c r="Y1" t="s">
        <v>16</v>
      </c>
      <c r="Z1" t="s">
        <v>17</v>
      </c>
      <c r="AA1" t="s">
        <v>18</v>
      </c>
      <c r="AB1" t="s">
        <v>290</v>
      </c>
      <c r="AC1" t="s">
        <v>19</v>
      </c>
    </row>
    <row r="2" spans="1:29" x14ac:dyDescent="0.3">
      <c r="A2">
        <v>1</v>
      </c>
      <c r="B2">
        <v>1</v>
      </c>
      <c r="C2">
        <v>11</v>
      </c>
      <c r="D2" t="s">
        <v>239</v>
      </c>
      <c r="E2" t="s">
        <v>237</v>
      </c>
      <c r="F2">
        <v>1</v>
      </c>
      <c r="G2" t="s">
        <v>20</v>
      </c>
      <c r="H2" t="s">
        <v>21</v>
      </c>
      <c r="I2" t="s">
        <v>120</v>
      </c>
      <c r="J2" t="s">
        <v>22</v>
      </c>
      <c r="K2" t="s">
        <v>23</v>
      </c>
      <c r="L2" t="s">
        <v>24</v>
      </c>
      <c r="M2" t="s">
        <v>25</v>
      </c>
      <c r="N2">
        <v>0</v>
      </c>
      <c r="O2">
        <v>0</v>
      </c>
      <c r="P2">
        <v>1</v>
      </c>
      <c r="Q2">
        <v>1</v>
      </c>
      <c r="R2">
        <v>10160</v>
      </c>
      <c r="S2">
        <v>10160</v>
      </c>
      <c r="T2">
        <v>10160</v>
      </c>
      <c r="U2" t="s">
        <v>26</v>
      </c>
      <c r="V2" s="18">
        <v>45500</v>
      </c>
      <c r="W2" s="18">
        <v>45511</v>
      </c>
      <c r="X2" s="18">
        <v>45514</v>
      </c>
      <c r="Y2" t="s">
        <v>27</v>
      </c>
      <c r="Z2" t="s">
        <v>28</v>
      </c>
      <c r="AA2">
        <v>-3</v>
      </c>
      <c r="AB2" t="s">
        <v>295</v>
      </c>
      <c r="AC2" t="s">
        <v>29</v>
      </c>
    </row>
    <row r="3" spans="1:29" x14ac:dyDescent="0.3">
      <c r="A3">
        <v>2</v>
      </c>
      <c r="B3">
        <v>2</v>
      </c>
      <c r="C3">
        <v>22</v>
      </c>
      <c r="D3" t="s">
        <v>30</v>
      </c>
      <c r="E3" t="s">
        <v>237</v>
      </c>
      <c r="F3">
        <v>1</v>
      </c>
      <c r="G3" t="s">
        <v>31</v>
      </c>
      <c r="H3" t="s">
        <v>21</v>
      </c>
      <c r="I3" t="s">
        <v>32</v>
      </c>
      <c r="J3" t="s">
        <v>22</v>
      </c>
      <c r="K3" t="s">
        <v>23</v>
      </c>
      <c r="L3" t="s">
        <v>33</v>
      </c>
      <c r="M3" t="s">
        <v>34</v>
      </c>
      <c r="N3">
        <v>0</v>
      </c>
      <c r="O3">
        <v>0</v>
      </c>
      <c r="P3">
        <v>1</v>
      </c>
      <c r="Q3">
        <v>1</v>
      </c>
      <c r="R3">
        <v>10160</v>
      </c>
      <c r="S3">
        <v>10160</v>
      </c>
      <c r="T3">
        <v>10160</v>
      </c>
      <c r="U3" t="s">
        <v>26</v>
      </c>
      <c r="V3" s="18">
        <v>45501</v>
      </c>
      <c r="W3" s="18">
        <v>45511</v>
      </c>
      <c r="X3" s="18">
        <v>45515</v>
      </c>
      <c r="Y3" t="s">
        <v>27</v>
      </c>
      <c r="Z3" t="s">
        <v>28</v>
      </c>
      <c r="AA3">
        <v>-4</v>
      </c>
      <c r="AB3" t="s">
        <v>295</v>
      </c>
      <c r="AC3" t="s">
        <v>29</v>
      </c>
    </row>
    <row r="4" spans="1:29" x14ac:dyDescent="0.3">
      <c r="A4">
        <v>3</v>
      </c>
      <c r="B4">
        <v>3</v>
      </c>
      <c r="C4">
        <v>33</v>
      </c>
      <c r="D4" t="s">
        <v>35</v>
      </c>
      <c r="E4" t="s">
        <v>237</v>
      </c>
      <c r="F4">
        <v>1</v>
      </c>
      <c r="G4" t="s">
        <v>36</v>
      </c>
      <c r="H4" t="s">
        <v>21</v>
      </c>
      <c r="I4" t="s">
        <v>37</v>
      </c>
      <c r="J4" t="s">
        <v>22</v>
      </c>
      <c r="K4" t="s">
        <v>38</v>
      </c>
      <c r="L4" t="s">
        <v>39</v>
      </c>
      <c r="M4" t="s">
        <v>40</v>
      </c>
      <c r="N4">
        <v>1</v>
      </c>
      <c r="O4">
        <v>11455</v>
      </c>
      <c r="P4">
        <v>1</v>
      </c>
      <c r="Q4">
        <v>0</v>
      </c>
      <c r="R4">
        <v>0</v>
      </c>
      <c r="S4">
        <v>11455</v>
      </c>
      <c r="T4">
        <v>11455</v>
      </c>
      <c r="U4" t="s">
        <v>26</v>
      </c>
      <c r="V4" s="18">
        <v>45500</v>
      </c>
      <c r="Y4" t="s">
        <v>41</v>
      </c>
      <c r="Z4" t="s">
        <v>42</v>
      </c>
      <c r="AA4" t="s">
        <v>42</v>
      </c>
      <c r="AB4" t="s">
        <v>295</v>
      </c>
      <c r="AC4" t="s">
        <v>42</v>
      </c>
    </row>
    <row r="5" spans="1:29" x14ac:dyDescent="0.3">
      <c r="A5">
        <v>4</v>
      </c>
      <c r="B5">
        <v>4</v>
      </c>
      <c r="C5">
        <v>44</v>
      </c>
      <c r="D5" t="s">
        <v>43</v>
      </c>
      <c r="E5" t="s">
        <v>237</v>
      </c>
      <c r="F5">
        <v>1</v>
      </c>
      <c r="G5" t="s">
        <v>44</v>
      </c>
      <c r="H5" t="s">
        <v>21</v>
      </c>
      <c r="I5" t="s">
        <v>45</v>
      </c>
      <c r="J5" t="s">
        <v>46</v>
      </c>
      <c r="K5" t="s">
        <v>47</v>
      </c>
      <c r="L5" t="s">
        <v>33</v>
      </c>
      <c r="M5" t="s">
        <v>48</v>
      </c>
      <c r="N5">
        <v>0</v>
      </c>
      <c r="O5">
        <v>0</v>
      </c>
      <c r="P5">
        <v>1</v>
      </c>
      <c r="Q5">
        <v>1</v>
      </c>
      <c r="R5">
        <v>8642</v>
      </c>
      <c r="S5">
        <v>8642</v>
      </c>
      <c r="T5">
        <v>8642</v>
      </c>
      <c r="U5" t="s">
        <v>26</v>
      </c>
      <c r="V5" s="18">
        <v>45529</v>
      </c>
      <c r="W5" s="18">
        <v>45542</v>
      </c>
      <c r="X5" s="18">
        <v>45531</v>
      </c>
      <c r="Y5" t="s">
        <v>27</v>
      </c>
      <c r="Z5" t="s">
        <v>28</v>
      </c>
      <c r="AA5">
        <v>11</v>
      </c>
      <c r="AB5" t="s">
        <v>296</v>
      </c>
      <c r="AC5" t="s">
        <v>49</v>
      </c>
    </row>
    <row r="6" spans="1:29" x14ac:dyDescent="0.3">
      <c r="A6">
        <v>5</v>
      </c>
      <c r="B6">
        <v>5</v>
      </c>
      <c r="C6">
        <v>55</v>
      </c>
      <c r="D6" t="s">
        <v>240</v>
      </c>
      <c r="E6" t="s">
        <v>237</v>
      </c>
      <c r="F6">
        <v>1</v>
      </c>
      <c r="G6" t="s">
        <v>36</v>
      </c>
      <c r="H6" t="s">
        <v>21</v>
      </c>
      <c r="I6" t="s">
        <v>37</v>
      </c>
      <c r="J6" t="s">
        <v>22</v>
      </c>
      <c r="K6" t="s">
        <v>38</v>
      </c>
      <c r="L6" t="s">
        <v>50</v>
      </c>
      <c r="M6" t="s">
        <v>51</v>
      </c>
      <c r="N6">
        <v>1</v>
      </c>
      <c r="O6">
        <v>12833</v>
      </c>
      <c r="P6">
        <v>1</v>
      </c>
      <c r="Q6">
        <v>0</v>
      </c>
      <c r="R6">
        <v>0</v>
      </c>
      <c r="S6">
        <v>12833</v>
      </c>
      <c r="T6">
        <v>12833</v>
      </c>
      <c r="U6" t="s">
        <v>26</v>
      </c>
      <c r="V6" s="18">
        <v>45520</v>
      </c>
      <c r="W6" s="18">
        <v>45535</v>
      </c>
      <c r="Y6" t="s">
        <v>41</v>
      </c>
      <c r="Z6" t="s">
        <v>42</v>
      </c>
      <c r="AA6" t="s">
        <v>42</v>
      </c>
      <c r="AB6" t="s">
        <v>296</v>
      </c>
      <c r="AC6" t="s">
        <v>42</v>
      </c>
    </row>
    <row r="7" spans="1:29" x14ac:dyDescent="0.3">
      <c r="A7">
        <v>6</v>
      </c>
      <c r="B7">
        <v>6</v>
      </c>
      <c r="C7">
        <v>66</v>
      </c>
      <c r="D7" t="s">
        <v>95</v>
      </c>
      <c r="E7" t="s">
        <v>278</v>
      </c>
      <c r="F7">
        <v>1</v>
      </c>
      <c r="G7" t="s">
        <v>52</v>
      </c>
      <c r="H7" t="s">
        <v>95</v>
      </c>
      <c r="I7" t="s">
        <v>53</v>
      </c>
      <c r="J7" t="s">
        <v>69</v>
      </c>
      <c r="K7" t="s">
        <v>54</v>
      </c>
      <c r="L7" t="s">
        <v>50</v>
      </c>
      <c r="M7" t="s">
        <v>55</v>
      </c>
      <c r="N7">
        <v>0</v>
      </c>
      <c r="O7">
        <v>0</v>
      </c>
      <c r="P7">
        <v>1</v>
      </c>
      <c r="Q7">
        <v>1</v>
      </c>
      <c r="R7">
        <v>14550</v>
      </c>
      <c r="S7">
        <v>14550</v>
      </c>
      <c r="T7">
        <v>14550</v>
      </c>
      <c r="U7" t="s">
        <v>56</v>
      </c>
      <c r="V7" s="18">
        <v>45518</v>
      </c>
      <c r="W7" s="18">
        <v>45538</v>
      </c>
      <c r="X7" s="18">
        <v>45540</v>
      </c>
      <c r="Y7" t="s">
        <v>27</v>
      </c>
      <c r="Z7" t="s">
        <v>28</v>
      </c>
      <c r="AA7">
        <v>-2</v>
      </c>
      <c r="AB7" t="s">
        <v>296</v>
      </c>
      <c r="AC7" t="s">
        <v>29</v>
      </c>
    </row>
    <row r="8" spans="1:29" x14ac:dyDescent="0.3">
      <c r="A8">
        <v>7</v>
      </c>
      <c r="B8">
        <v>7</v>
      </c>
      <c r="C8">
        <v>77</v>
      </c>
      <c r="D8" t="s">
        <v>241</v>
      </c>
      <c r="E8" t="s">
        <v>237</v>
      </c>
      <c r="F8">
        <v>1</v>
      </c>
      <c r="G8" t="s">
        <v>57</v>
      </c>
      <c r="H8" t="s">
        <v>58</v>
      </c>
      <c r="I8" t="s">
        <v>53</v>
      </c>
      <c r="J8" t="s">
        <v>69</v>
      </c>
      <c r="K8" t="s">
        <v>54</v>
      </c>
      <c r="L8" t="s">
        <v>50</v>
      </c>
      <c r="M8" t="s">
        <v>55</v>
      </c>
      <c r="N8">
        <v>0</v>
      </c>
      <c r="O8">
        <v>0</v>
      </c>
      <c r="P8">
        <v>1</v>
      </c>
      <c r="Q8">
        <v>1</v>
      </c>
      <c r="R8">
        <v>12000</v>
      </c>
      <c r="S8">
        <v>12000</v>
      </c>
      <c r="T8">
        <v>12000</v>
      </c>
      <c r="U8" t="s">
        <v>26</v>
      </c>
      <c r="V8" s="18">
        <v>45521</v>
      </c>
      <c r="W8" s="18">
        <v>45524</v>
      </c>
      <c r="X8" s="18">
        <v>45523</v>
      </c>
      <c r="Y8" t="s">
        <v>27</v>
      </c>
      <c r="Z8" t="s">
        <v>28</v>
      </c>
      <c r="AA8">
        <v>1</v>
      </c>
      <c r="AB8" t="s">
        <v>296</v>
      </c>
      <c r="AC8" t="s">
        <v>49</v>
      </c>
    </row>
    <row r="9" spans="1:29" x14ac:dyDescent="0.3">
      <c r="A9">
        <v>8</v>
      </c>
      <c r="B9">
        <v>8</v>
      </c>
      <c r="C9">
        <v>88</v>
      </c>
      <c r="D9" t="s">
        <v>59</v>
      </c>
      <c r="E9" t="s">
        <v>237</v>
      </c>
      <c r="F9">
        <v>1</v>
      </c>
      <c r="G9" t="s">
        <v>60</v>
      </c>
      <c r="H9" t="s">
        <v>21</v>
      </c>
      <c r="I9" t="s">
        <v>120</v>
      </c>
      <c r="J9" t="s">
        <v>22</v>
      </c>
      <c r="K9" t="s">
        <v>61</v>
      </c>
      <c r="L9" t="s">
        <v>24</v>
      </c>
      <c r="M9" t="s">
        <v>62</v>
      </c>
      <c r="N9">
        <v>0</v>
      </c>
      <c r="O9">
        <v>0</v>
      </c>
      <c r="P9">
        <v>1</v>
      </c>
      <c r="Q9">
        <v>1</v>
      </c>
      <c r="R9">
        <v>7228</v>
      </c>
      <c r="S9">
        <v>7228</v>
      </c>
      <c r="T9">
        <v>7228</v>
      </c>
      <c r="U9" t="s">
        <v>26</v>
      </c>
      <c r="V9" s="18">
        <v>45529</v>
      </c>
      <c r="W9" s="18">
        <v>45538</v>
      </c>
      <c r="X9" s="18">
        <v>45545</v>
      </c>
      <c r="Y9" t="s">
        <v>27</v>
      </c>
      <c r="Z9" t="s">
        <v>28</v>
      </c>
      <c r="AA9">
        <v>-7</v>
      </c>
      <c r="AB9" t="s">
        <v>296</v>
      </c>
      <c r="AC9" t="s">
        <v>29</v>
      </c>
    </row>
    <row r="10" spans="1:29" x14ac:dyDescent="0.3">
      <c r="A10">
        <v>9</v>
      </c>
      <c r="B10">
        <v>9</v>
      </c>
      <c r="C10">
        <v>99</v>
      </c>
      <c r="D10" t="s">
        <v>234</v>
      </c>
      <c r="E10" t="s">
        <v>278</v>
      </c>
      <c r="F10">
        <v>1</v>
      </c>
      <c r="G10" t="s">
        <v>63</v>
      </c>
      <c r="H10" t="s">
        <v>234</v>
      </c>
      <c r="I10" t="s">
        <v>53</v>
      </c>
      <c r="J10" t="s">
        <v>64</v>
      </c>
      <c r="K10" t="s">
        <v>65</v>
      </c>
      <c r="L10" t="s">
        <v>33</v>
      </c>
      <c r="M10" t="s">
        <v>66</v>
      </c>
      <c r="N10">
        <v>0</v>
      </c>
      <c r="O10">
        <v>0</v>
      </c>
      <c r="P10">
        <v>1</v>
      </c>
      <c r="Q10">
        <v>1</v>
      </c>
      <c r="R10">
        <v>22000</v>
      </c>
      <c r="S10">
        <v>22000</v>
      </c>
      <c r="T10">
        <v>22000</v>
      </c>
      <c r="U10" t="s">
        <v>56</v>
      </c>
      <c r="V10" s="18">
        <v>45523</v>
      </c>
      <c r="W10" s="18">
        <v>45536</v>
      </c>
      <c r="X10" s="18">
        <v>45552</v>
      </c>
      <c r="Y10" t="s">
        <v>67</v>
      </c>
      <c r="Z10" t="s">
        <v>28</v>
      </c>
      <c r="AA10">
        <v>-16</v>
      </c>
      <c r="AB10" t="s">
        <v>296</v>
      </c>
      <c r="AC10" t="s">
        <v>29</v>
      </c>
    </row>
    <row r="11" spans="1:29" x14ac:dyDescent="0.3">
      <c r="A11">
        <v>11</v>
      </c>
      <c r="B11">
        <v>12</v>
      </c>
      <c r="C11">
        <v>122</v>
      </c>
      <c r="D11" t="s">
        <v>234</v>
      </c>
      <c r="E11" t="s">
        <v>278</v>
      </c>
      <c r="F11">
        <v>0</v>
      </c>
      <c r="G11" t="s">
        <v>68</v>
      </c>
      <c r="H11" t="s">
        <v>234</v>
      </c>
      <c r="I11" t="s">
        <v>53</v>
      </c>
      <c r="J11" t="s">
        <v>69</v>
      </c>
      <c r="K11" t="s">
        <v>70</v>
      </c>
      <c r="L11" t="s">
        <v>33</v>
      </c>
      <c r="M11" t="s">
        <v>71</v>
      </c>
      <c r="N11">
        <v>0</v>
      </c>
      <c r="O11">
        <v>0</v>
      </c>
      <c r="P11">
        <v>2</v>
      </c>
      <c r="Q11">
        <v>2</v>
      </c>
      <c r="R11">
        <v>12000</v>
      </c>
      <c r="S11">
        <v>12000</v>
      </c>
      <c r="T11">
        <v>6000</v>
      </c>
      <c r="U11" t="s">
        <v>56</v>
      </c>
      <c r="V11" s="18">
        <v>45529</v>
      </c>
      <c r="W11" s="18">
        <v>45550</v>
      </c>
      <c r="X11" s="18">
        <v>45552</v>
      </c>
      <c r="Y11" t="s">
        <v>67</v>
      </c>
      <c r="Z11" t="s">
        <v>28</v>
      </c>
      <c r="AA11">
        <v>-2</v>
      </c>
      <c r="AB11" t="s">
        <v>296</v>
      </c>
      <c r="AC11" t="s">
        <v>29</v>
      </c>
    </row>
    <row r="12" spans="1:29" x14ac:dyDescent="0.3">
      <c r="A12">
        <v>12</v>
      </c>
      <c r="B12">
        <v>13</v>
      </c>
      <c r="C12">
        <v>133</v>
      </c>
      <c r="D12" t="s">
        <v>242</v>
      </c>
      <c r="E12" t="s">
        <v>237</v>
      </c>
      <c r="F12">
        <v>1</v>
      </c>
      <c r="G12" t="s">
        <v>72</v>
      </c>
      <c r="H12" t="s">
        <v>21</v>
      </c>
      <c r="I12" t="s">
        <v>53</v>
      </c>
      <c r="J12" t="s">
        <v>22</v>
      </c>
      <c r="K12" t="s">
        <v>38</v>
      </c>
      <c r="L12" t="s">
        <v>24</v>
      </c>
      <c r="M12" t="s">
        <v>73</v>
      </c>
      <c r="N12">
        <v>0</v>
      </c>
      <c r="O12">
        <v>0</v>
      </c>
      <c r="P12">
        <v>1</v>
      </c>
      <c r="Q12">
        <v>1</v>
      </c>
      <c r="R12">
        <v>10499</v>
      </c>
      <c r="S12">
        <v>10499</v>
      </c>
      <c r="T12">
        <v>10499</v>
      </c>
      <c r="U12" t="s">
        <v>26</v>
      </c>
      <c r="V12" s="18">
        <v>45536</v>
      </c>
      <c r="W12" s="18">
        <v>45551</v>
      </c>
      <c r="X12" s="18">
        <v>45543</v>
      </c>
      <c r="Y12" t="s">
        <v>27</v>
      </c>
      <c r="Z12" t="s">
        <v>28</v>
      </c>
      <c r="AA12">
        <v>8</v>
      </c>
      <c r="AB12" t="s">
        <v>297</v>
      </c>
      <c r="AC12" t="s">
        <v>49</v>
      </c>
    </row>
    <row r="13" spans="1:29" x14ac:dyDescent="0.3">
      <c r="A13">
        <v>13</v>
      </c>
      <c r="B13">
        <v>1404561</v>
      </c>
      <c r="C13">
        <v>1199284</v>
      </c>
      <c r="D13" t="s">
        <v>243</v>
      </c>
      <c r="E13" t="s">
        <v>237</v>
      </c>
      <c r="F13">
        <v>1</v>
      </c>
      <c r="G13" t="s">
        <v>74</v>
      </c>
      <c r="H13" t="s">
        <v>21</v>
      </c>
      <c r="I13" t="s">
        <v>120</v>
      </c>
      <c r="J13" t="s">
        <v>22</v>
      </c>
      <c r="K13" t="s">
        <v>61</v>
      </c>
      <c r="L13" t="s">
        <v>24</v>
      </c>
      <c r="M13" t="s">
        <v>75</v>
      </c>
      <c r="N13">
        <v>1</v>
      </c>
      <c r="O13">
        <v>7295</v>
      </c>
      <c r="P13">
        <v>1</v>
      </c>
      <c r="Q13">
        <v>0</v>
      </c>
      <c r="R13">
        <v>0</v>
      </c>
      <c r="S13">
        <v>7295</v>
      </c>
      <c r="T13">
        <v>7295</v>
      </c>
      <c r="U13" t="s">
        <v>26</v>
      </c>
      <c r="V13" s="18">
        <v>45540</v>
      </c>
      <c r="W13" s="18">
        <v>45549</v>
      </c>
      <c r="Y13" t="s">
        <v>76</v>
      </c>
      <c r="Z13" t="s">
        <v>42</v>
      </c>
      <c r="AA13" t="s">
        <v>42</v>
      </c>
      <c r="AB13" t="s">
        <v>297</v>
      </c>
      <c r="AC13" t="s">
        <v>42</v>
      </c>
    </row>
    <row r="14" spans="1:29" x14ac:dyDescent="0.3">
      <c r="A14">
        <v>14</v>
      </c>
      <c r="B14">
        <v>1401137</v>
      </c>
      <c r="C14">
        <v>1197500</v>
      </c>
      <c r="D14" t="s">
        <v>244</v>
      </c>
      <c r="E14" t="s">
        <v>237</v>
      </c>
      <c r="F14">
        <v>1</v>
      </c>
      <c r="G14" t="s">
        <v>77</v>
      </c>
      <c r="H14" t="s">
        <v>21</v>
      </c>
      <c r="I14" t="s">
        <v>53</v>
      </c>
      <c r="J14" t="s">
        <v>46</v>
      </c>
      <c r="K14" t="s">
        <v>78</v>
      </c>
      <c r="L14" t="s">
        <v>33</v>
      </c>
      <c r="M14" t="s">
        <v>79</v>
      </c>
      <c r="N14">
        <v>1</v>
      </c>
      <c r="O14">
        <v>7849</v>
      </c>
      <c r="P14">
        <v>1</v>
      </c>
      <c r="Q14">
        <v>0</v>
      </c>
      <c r="R14">
        <v>0</v>
      </c>
      <c r="S14">
        <v>7849</v>
      </c>
      <c r="T14">
        <v>7849</v>
      </c>
      <c r="U14" t="s">
        <v>26</v>
      </c>
      <c r="V14" s="18">
        <v>45539</v>
      </c>
      <c r="W14" s="18">
        <v>45551</v>
      </c>
      <c r="X14" s="18">
        <v>45560</v>
      </c>
      <c r="Y14" t="s">
        <v>27</v>
      </c>
      <c r="Z14" t="s">
        <v>42</v>
      </c>
      <c r="AA14" t="s">
        <v>42</v>
      </c>
      <c r="AB14" t="s">
        <v>297</v>
      </c>
      <c r="AC14" t="s">
        <v>42</v>
      </c>
    </row>
    <row r="15" spans="1:29" x14ac:dyDescent="0.3">
      <c r="A15">
        <v>15</v>
      </c>
      <c r="B15">
        <v>15</v>
      </c>
      <c r="C15">
        <v>155</v>
      </c>
      <c r="D15" t="s">
        <v>245</v>
      </c>
      <c r="E15" t="s">
        <v>237</v>
      </c>
      <c r="F15">
        <v>1</v>
      </c>
      <c r="G15" t="s">
        <v>80</v>
      </c>
      <c r="H15" t="s">
        <v>232</v>
      </c>
      <c r="I15" t="s">
        <v>53</v>
      </c>
      <c r="J15" t="s">
        <v>22</v>
      </c>
      <c r="K15" t="s">
        <v>38</v>
      </c>
      <c r="L15" t="s">
        <v>33</v>
      </c>
      <c r="M15" t="s">
        <v>81</v>
      </c>
      <c r="N15">
        <v>0</v>
      </c>
      <c r="O15">
        <v>0</v>
      </c>
      <c r="P15">
        <v>2</v>
      </c>
      <c r="Q15">
        <v>2</v>
      </c>
      <c r="R15">
        <v>12360</v>
      </c>
      <c r="S15">
        <v>12360</v>
      </c>
      <c r="T15">
        <v>6180</v>
      </c>
      <c r="U15" t="s">
        <v>26</v>
      </c>
      <c r="V15" s="18">
        <v>45538</v>
      </c>
      <c r="W15" s="18">
        <v>45551</v>
      </c>
      <c r="X15" s="18">
        <v>45550</v>
      </c>
      <c r="Y15" t="s">
        <v>67</v>
      </c>
      <c r="Z15" t="s">
        <v>28</v>
      </c>
      <c r="AA15">
        <v>1</v>
      </c>
      <c r="AB15" t="s">
        <v>297</v>
      </c>
      <c r="AC15" t="s">
        <v>49</v>
      </c>
    </row>
    <row r="16" spans="1:29" x14ac:dyDescent="0.3">
      <c r="A16">
        <v>16</v>
      </c>
      <c r="B16">
        <v>1400149</v>
      </c>
      <c r="C16">
        <v>1196947</v>
      </c>
      <c r="D16" t="s">
        <v>82</v>
      </c>
      <c r="E16" t="s">
        <v>237</v>
      </c>
      <c r="F16">
        <v>1</v>
      </c>
      <c r="G16" t="s">
        <v>83</v>
      </c>
      <c r="H16" t="s">
        <v>21</v>
      </c>
      <c r="I16" t="s">
        <v>53</v>
      </c>
      <c r="J16" t="s">
        <v>22</v>
      </c>
      <c r="K16" t="s">
        <v>38</v>
      </c>
      <c r="L16" t="s">
        <v>24</v>
      </c>
      <c r="M16" t="s">
        <v>84</v>
      </c>
      <c r="N16">
        <v>1</v>
      </c>
      <c r="O16">
        <v>11199</v>
      </c>
      <c r="P16">
        <v>1</v>
      </c>
      <c r="Q16">
        <v>0</v>
      </c>
      <c r="R16">
        <v>0</v>
      </c>
      <c r="S16">
        <v>11199</v>
      </c>
      <c r="T16">
        <v>11199</v>
      </c>
      <c r="U16" t="s">
        <v>26</v>
      </c>
      <c r="V16" s="18">
        <v>45539</v>
      </c>
      <c r="W16" s="18">
        <v>45553</v>
      </c>
      <c r="Y16" t="s">
        <v>76</v>
      </c>
      <c r="Z16" t="s">
        <v>42</v>
      </c>
      <c r="AA16" t="s">
        <v>42</v>
      </c>
      <c r="AB16" t="s">
        <v>297</v>
      </c>
      <c r="AC16" t="s">
        <v>42</v>
      </c>
    </row>
    <row r="17" spans="1:29" x14ac:dyDescent="0.3">
      <c r="A17">
        <v>17</v>
      </c>
      <c r="B17">
        <v>1408099</v>
      </c>
      <c r="C17">
        <v>1201057</v>
      </c>
      <c r="D17" t="s">
        <v>241</v>
      </c>
      <c r="E17" t="s">
        <v>237</v>
      </c>
      <c r="F17">
        <v>0</v>
      </c>
      <c r="G17" t="s">
        <v>85</v>
      </c>
      <c r="H17" t="s">
        <v>21</v>
      </c>
      <c r="I17" t="s">
        <v>53</v>
      </c>
      <c r="J17" t="s">
        <v>22</v>
      </c>
      <c r="K17" t="s">
        <v>61</v>
      </c>
      <c r="L17" t="s">
        <v>24</v>
      </c>
      <c r="M17" t="s">
        <v>86</v>
      </c>
      <c r="N17">
        <v>0</v>
      </c>
      <c r="O17">
        <v>0</v>
      </c>
      <c r="P17">
        <v>4</v>
      </c>
      <c r="Q17">
        <v>4</v>
      </c>
      <c r="R17">
        <v>31948</v>
      </c>
      <c r="S17">
        <v>31948</v>
      </c>
      <c r="T17">
        <v>7987</v>
      </c>
      <c r="U17" t="s">
        <v>26</v>
      </c>
      <c r="V17" s="18">
        <v>45541</v>
      </c>
      <c r="W17" s="18">
        <v>45551</v>
      </c>
      <c r="X17" s="18">
        <v>45556</v>
      </c>
      <c r="Y17" t="s">
        <v>67</v>
      </c>
      <c r="Z17" t="s">
        <v>28</v>
      </c>
      <c r="AA17">
        <v>-5</v>
      </c>
      <c r="AB17" t="s">
        <v>297</v>
      </c>
      <c r="AC17" t="s">
        <v>29</v>
      </c>
    </row>
    <row r="18" spans="1:29" x14ac:dyDescent="0.3">
      <c r="A18">
        <v>18</v>
      </c>
      <c r="B18">
        <v>16</v>
      </c>
      <c r="C18">
        <v>166</v>
      </c>
      <c r="D18" t="s">
        <v>234</v>
      </c>
      <c r="E18" t="s">
        <v>278</v>
      </c>
      <c r="F18">
        <v>0</v>
      </c>
      <c r="G18" t="s">
        <v>63</v>
      </c>
      <c r="H18" t="s">
        <v>234</v>
      </c>
      <c r="I18" t="s">
        <v>53</v>
      </c>
      <c r="J18" t="s">
        <v>87</v>
      </c>
      <c r="K18" t="s">
        <v>88</v>
      </c>
      <c r="L18" t="s">
        <v>33</v>
      </c>
      <c r="M18" t="s">
        <v>89</v>
      </c>
      <c r="N18">
        <v>0</v>
      </c>
      <c r="O18">
        <v>0</v>
      </c>
      <c r="P18">
        <v>2</v>
      </c>
      <c r="Q18">
        <v>2</v>
      </c>
      <c r="R18">
        <v>18600</v>
      </c>
      <c r="S18">
        <v>18600</v>
      </c>
      <c r="T18">
        <v>9300</v>
      </c>
      <c r="U18" t="s">
        <v>56</v>
      </c>
      <c r="V18" s="18">
        <v>45539</v>
      </c>
      <c r="W18" s="18">
        <v>45550</v>
      </c>
      <c r="X18" s="18">
        <v>45552</v>
      </c>
      <c r="Y18" t="s">
        <v>67</v>
      </c>
      <c r="Z18" t="s">
        <v>28</v>
      </c>
      <c r="AA18">
        <v>-2</v>
      </c>
      <c r="AB18" t="s">
        <v>297</v>
      </c>
      <c r="AC18" t="s">
        <v>29</v>
      </c>
    </row>
    <row r="19" spans="1:29" x14ac:dyDescent="0.3">
      <c r="A19">
        <v>19</v>
      </c>
      <c r="B19">
        <v>1408098</v>
      </c>
      <c r="C19">
        <v>1201057</v>
      </c>
      <c r="D19" t="s">
        <v>241</v>
      </c>
      <c r="E19" t="s">
        <v>237</v>
      </c>
      <c r="F19">
        <v>0</v>
      </c>
      <c r="G19" t="s">
        <v>85</v>
      </c>
      <c r="H19" t="s">
        <v>21</v>
      </c>
      <c r="I19" t="s">
        <v>53</v>
      </c>
      <c r="J19" t="s">
        <v>22</v>
      </c>
      <c r="K19" t="s">
        <v>61</v>
      </c>
      <c r="L19" t="s">
        <v>24</v>
      </c>
      <c r="M19" t="s">
        <v>86</v>
      </c>
      <c r="N19">
        <v>0</v>
      </c>
      <c r="O19">
        <v>0</v>
      </c>
      <c r="P19">
        <v>4</v>
      </c>
      <c r="Q19">
        <v>4</v>
      </c>
      <c r="R19">
        <v>31948</v>
      </c>
      <c r="S19">
        <v>31948</v>
      </c>
      <c r="T19">
        <v>7987</v>
      </c>
      <c r="U19" t="s">
        <v>26</v>
      </c>
      <c r="V19" s="18">
        <v>45541</v>
      </c>
      <c r="W19" s="18">
        <v>45551</v>
      </c>
      <c r="X19" s="18">
        <v>45556</v>
      </c>
      <c r="Y19" t="s">
        <v>67</v>
      </c>
      <c r="Z19" t="s">
        <v>28</v>
      </c>
      <c r="AA19">
        <v>-5</v>
      </c>
      <c r="AB19" t="s">
        <v>297</v>
      </c>
      <c r="AC19" t="s">
        <v>29</v>
      </c>
    </row>
    <row r="20" spans="1:29" x14ac:dyDescent="0.3">
      <c r="A20">
        <v>20</v>
      </c>
      <c r="B20">
        <v>1408100</v>
      </c>
      <c r="C20">
        <v>1201057</v>
      </c>
      <c r="D20" t="s">
        <v>241</v>
      </c>
      <c r="E20" t="s">
        <v>237</v>
      </c>
      <c r="F20">
        <v>0</v>
      </c>
      <c r="G20" t="s">
        <v>85</v>
      </c>
      <c r="H20" t="s">
        <v>21</v>
      </c>
      <c r="I20" t="s">
        <v>53</v>
      </c>
      <c r="J20" t="s">
        <v>22</v>
      </c>
      <c r="K20" t="s">
        <v>61</v>
      </c>
      <c r="L20" t="s">
        <v>24</v>
      </c>
      <c r="M20" t="s">
        <v>86</v>
      </c>
      <c r="N20">
        <v>0</v>
      </c>
      <c r="O20">
        <v>0</v>
      </c>
      <c r="P20">
        <v>4</v>
      </c>
      <c r="Q20">
        <v>4</v>
      </c>
      <c r="R20">
        <v>31948</v>
      </c>
      <c r="S20">
        <v>31948</v>
      </c>
      <c r="T20">
        <v>7987</v>
      </c>
      <c r="U20" t="s">
        <v>26</v>
      </c>
      <c r="V20" s="18">
        <v>45541</v>
      </c>
      <c r="W20" s="18">
        <v>45551</v>
      </c>
      <c r="X20" s="18">
        <v>45556</v>
      </c>
      <c r="Y20" t="s">
        <v>67</v>
      </c>
      <c r="Z20" t="s">
        <v>28</v>
      </c>
      <c r="AA20">
        <v>-5</v>
      </c>
      <c r="AB20" t="s">
        <v>297</v>
      </c>
      <c r="AC20" t="s">
        <v>29</v>
      </c>
    </row>
    <row r="21" spans="1:29" x14ac:dyDescent="0.3">
      <c r="A21">
        <v>21</v>
      </c>
      <c r="B21">
        <v>1408101</v>
      </c>
      <c r="C21">
        <v>1201057</v>
      </c>
      <c r="D21" t="s">
        <v>241</v>
      </c>
      <c r="E21" t="s">
        <v>237</v>
      </c>
      <c r="F21">
        <v>0</v>
      </c>
      <c r="G21" t="s">
        <v>85</v>
      </c>
      <c r="H21" t="s">
        <v>21</v>
      </c>
      <c r="I21" t="s">
        <v>53</v>
      </c>
      <c r="J21" t="s">
        <v>22</v>
      </c>
      <c r="K21" t="s">
        <v>61</v>
      </c>
      <c r="L21" t="s">
        <v>24</v>
      </c>
      <c r="M21" t="s">
        <v>86</v>
      </c>
      <c r="N21">
        <v>0</v>
      </c>
      <c r="O21">
        <v>0</v>
      </c>
      <c r="P21">
        <v>4</v>
      </c>
      <c r="Q21">
        <v>4</v>
      </c>
      <c r="R21">
        <v>31948</v>
      </c>
      <c r="S21">
        <v>31948</v>
      </c>
      <c r="T21">
        <v>7987</v>
      </c>
      <c r="U21" t="s">
        <v>26</v>
      </c>
      <c r="V21" s="18">
        <v>45541</v>
      </c>
      <c r="W21" s="18">
        <v>45551</v>
      </c>
      <c r="X21" s="18">
        <v>45556</v>
      </c>
      <c r="Y21" t="s">
        <v>67</v>
      </c>
      <c r="Z21" t="s">
        <v>28</v>
      </c>
      <c r="AA21">
        <v>-5</v>
      </c>
      <c r="AB21" t="s">
        <v>297</v>
      </c>
      <c r="AC21" t="s">
        <v>29</v>
      </c>
    </row>
    <row r="22" spans="1:29" x14ac:dyDescent="0.3">
      <c r="A22">
        <v>22</v>
      </c>
      <c r="B22">
        <v>1513856</v>
      </c>
      <c r="C22">
        <v>1231946</v>
      </c>
      <c r="D22" t="s">
        <v>90</v>
      </c>
      <c r="E22" t="s">
        <v>237</v>
      </c>
      <c r="F22">
        <v>1</v>
      </c>
      <c r="G22" t="s">
        <v>91</v>
      </c>
      <c r="H22" t="s">
        <v>21</v>
      </c>
      <c r="I22" t="s">
        <v>53</v>
      </c>
      <c r="J22" t="s">
        <v>46</v>
      </c>
      <c r="K22" t="s">
        <v>78</v>
      </c>
      <c r="L22" t="s">
        <v>33</v>
      </c>
      <c r="M22" t="s">
        <v>79</v>
      </c>
      <c r="N22">
        <v>1</v>
      </c>
      <c r="O22">
        <v>8849</v>
      </c>
      <c r="P22">
        <v>1</v>
      </c>
      <c r="Q22">
        <v>0</v>
      </c>
      <c r="R22">
        <v>0</v>
      </c>
      <c r="S22">
        <v>8849</v>
      </c>
      <c r="T22">
        <v>8849</v>
      </c>
      <c r="U22" t="s">
        <v>26</v>
      </c>
      <c r="V22" s="18">
        <v>45538</v>
      </c>
      <c r="W22" s="18">
        <v>45581</v>
      </c>
      <c r="Y22" t="s">
        <v>76</v>
      </c>
      <c r="Z22" t="s">
        <v>42</v>
      </c>
      <c r="AA22" t="s">
        <v>42</v>
      </c>
      <c r="AB22" t="s">
        <v>297</v>
      </c>
      <c r="AC22" t="s">
        <v>42</v>
      </c>
    </row>
    <row r="23" spans="1:29" x14ac:dyDescent="0.3">
      <c r="A23">
        <v>23</v>
      </c>
      <c r="B23">
        <v>1411691</v>
      </c>
      <c r="C23">
        <v>1202775</v>
      </c>
      <c r="D23" t="s">
        <v>92</v>
      </c>
      <c r="E23" t="s">
        <v>237</v>
      </c>
      <c r="F23">
        <v>1</v>
      </c>
      <c r="G23" t="s">
        <v>74</v>
      </c>
      <c r="H23" t="s">
        <v>21</v>
      </c>
      <c r="I23" t="s">
        <v>120</v>
      </c>
      <c r="J23" t="s">
        <v>22</v>
      </c>
      <c r="K23" t="s">
        <v>61</v>
      </c>
      <c r="L23" t="s">
        <v>24</v>
      </c>
      <c r="M23" t="s">
        <v>93</v>
      </c>
      <c r="N23">
        <v>0</v>
      </c>
      <c r="O23">
        <v>0</v>
      </c>
      <c r="P23">
        <v>1</v>
      </c>
      <c r="Q23">
        <v>1</v>
      </c>
      <c r="R23">
        <v>10987</v>
      </c>
      <c r="S23">
        <v>10987</v>
      </c>
      <c r="T23">
        <v>10987</v>
      </c>
      <c r="U23" t="s">
        <v>26</v>
      </c>
      <c r="V23" s="18">
        <v>45544</v>
      </c>
      <c r="W23" s="18">
        <v>45552</v>
      </c>
      <c r="X23" s="18">
        <v>45556</v>
      </c>
      <c r="Y23" t="s">
        <v>67</v>
      </c>
      <c r="Z23" t="s">
        <v>28</v>
      </c>
      <c r="AA23">
        <v>-4</v>
      </c>
      <c r="AB23" t="s">
        <v>297</v>
      </c>
      <c r="AC23" t="s">
        <v>29</v>
      </c>
    </row>
    <row r="24" spans="1:29" x14ac:dyDescent="0.3">
      <c r="A24">
        <v>24</v>
      </c>
      <c r="B24">
        <v>17</v>
      </c>
      <c r="C24">
        <v>177</v>
      </c>
      <c r="D24" t="s">
        <v>95</v>
      </c>
      <c r="E24" t="s">
        <v>278</v>
      </c>
      <c r="F24">
        <v>0</v>
      </c>
      <c r="G24" t="s">
        <v>52</v>
      </c>
      <c r="H24" t="s">
        <v>95</v>
      </c>
      <c r="I24" t="s">
        <v>53</v>
      </c>
      <c r="J24" t="s">
        <v>22</v>
      </c>
      <c r="K24" t="s">
        <v>38</v>
      </c>
      <c r="L24" t="s">
        <v>24</v>
      </c>
      <c r="M24" t="s">
        <v>94</v>
      </c>
      <c r="N24">
        <v>0</v>
      </c>
      <c r="O24">
        <v>0</v>
      </c>
      <c r="P24">
        <v>1</v>
      </c>
      <c r="Q24">
        <v>1</v>
      </c>
      <c r="R24">
        <v>9208</v>
      </c>
      <c r="S24">
        <v>9208</v>
      </c>
      <c r="T24">
        <v>9208</v>
      </c>
      <c r="U24" t="s">
        <v>56</v>
      </c>
      <c r="V24" s="18">
        <v>45536</v>
      </c>
      <c r="W24" s="18">
        <v>45554</v>
      </c>
      <c r="X24" s="18">
        <v>45556</v>
      </c>
      <c r="Y24" t="s">
        <v>67</v>
      </c>
      <c r="Z24" t="s">
        <v>28</v>
      </c>
      <c r="AA24">
        <v>-2</v>
      </c>
      <c r="AB24" t="s">
        <v>297</v>
      </c>
      <c r="AC24" t="s">
        <v>29</v>
      </c>
    </row>
    <row r="25" spans="1:29" x14ac:dyDescent="0.3">
      <c r="A25">
        <v>25</v>
      </c>
      <c r="B25">
        <v>18</v>
      </c>
      <c r="C25">
        <v>188</v>
      </c>
      <c r="D25" t="s">
        <v>95</v>
      </c>
      <c r="E25" t="s">
        <v>278</v>
      </c>
      <c r="F25">
        <v>0</v>
      </c>
      <c r="G25" t="s">
        <v>52</v>
      </c>
      <c r="H25" t="s">
        <v>95</v>
      </c>
      <c r="I25" t="s">
        <v>53</v>
      </c>
      <c r="J25" t="s">
        <v>22</v>
      </c>
      <c r="K25" t="s">
        <v>38</v>
      </c>
      <c r="L25" t="s">
        <v>33</v>
      </c>
      <c r="M25" t="s">
        <v>96</v>
      </c>
      <c r="N25">
        <v>0</v>
      </c>
      <c r="O25">
        <v>0</v>
      </c>
      <c r="P25">
        <v>1</v>
      </c>
      <c r="Q25">
        <v>1</v>
      </c>
      <c r="R25">
        <v>9208</v>
      </c>
      <c r="S25">
        <v>9208</v>
      </c>
      <c r="T25">
        <v>9208</v>
      </c>
      <c r="U25" t="s">
        <v>56</v>
      </c>
      <c r="V25" s="18">
        <v>45536</v>
      </c>
      <c r="W25" s="18">
        <v>45554</v>
      </c>
      <c r="X25" s="18">
        <v>45556</v>
      </c>
      <c r="Y25" t="s">
        <v>67</v>
      </c>
      <c r="Z25" t="s">
        <v>28</v>
      </c>
      <c r="AA25">
        <v>-2</v>
      </c>
      <c r="AB25" t="s">
        <v>297</v>
      </c>
      <c r="AC25" t="s">
        <v>29</v>
      </c>
    </row>
    <row r="26" spans="1:29" x14ac:dyDescent="0.3">
      <c r="A26">
        <v>26</v>
      </c>
      <c r="B26">
        <v>20</v>
      </c>
      <c r="C26">
        <v>200</v>
      </c>
      <c r="D26" t="s">
        <v>97</v>
      </c>
      <c r="E26" t="s">
        <v>278</v>
      </c>
      <c r="F26">
        <v>1</v>
      </c>
      <c r="G26" t="s">
        <v>98</v>
      </c>
      <c r="H26" t="s">
        <v>232</v>
      </c>
      <c r="I26" t="s">
        <v>99</v>
      </c>
      <c r="J26" t="s">
        <v>22</v>
      </c>
      <c r="K26" t="s">
        <v>61</v>
      </c>
      <c r="L26" t="s">
        <v>24</v>
      </c>
      <c r="M26" t="s">
        <v>100</v>
      </c>
      <c r="N26">
        <v>0</v>
      </c>
      <c r="O26">
        <v>0</v>
      </c>
      <c r="P26">
        <v>1</v>
      </c>
      <c r="Q26">
        <v>1</v>
      </c>
      <c r="R26">
        <v>4020</v>
      </c>
      <c r="S26">
        <v>4020</v>
      </c>
      <c r="T26">
        <v>4020</v>
      </c>
      <c r="U26" t="s">
        <v>56</v>
      </c>
      <c r="V26" s="18">
        <v>45547</v>
      </c>
      <c r="W26" s="18">
        <v>45556</v>
      </c>
      <c r="X26" s="18">
        <v>45557</v>
      </c>
      <c r="Y26" t="s">
        <v>67</v>
      </c>
      <c r="Z26" t="s">
        <v>28</v>
      </c>
      <c r="AA26">
        <v>-1</v>
      </c>
      <c r="AB26" t="s">
        <v>297</v>
      </c>
      <c r="AC26" t="s">
        <v>29</v>
      </c>
    </row>
    <row r="27" spans="1:29" x14ac:dyDescent="0.3">
      <c r="A27">
        <v>27</v>
      </c>
      <c r="B27">
        <v>23</v>
      </c>
      <c r="C27">
        <v>233</v>
      </c>
      <c r="D27" t="s">
        <v>97</v>
      </c>
      <c r="E27" t="s">
        <v>278</v>
      </c>
      <c r="F27">
        <v>0</v>
      </c>
      <c r="G27" t="s">
        <v>98</v>
      </c>
      <c r="H27" t="s">
        <v>232</v>
      </c>
      <c r="I27" t="s">
        <v>99</v>
      </c>
      <c r="J27" t="s">
        <v>22</v>
      </c>
      <c r="K27" t="s">
        <v>61</v>
      </c>
      <c r="L27" t="s">
        <v>33</v>
      </c>
      <c r="M27" t="s">
        <v>101</v>
      </c>
      <c r="N27">
        <v>0</v>
      </c>
      <c r="O27">
        <v>0</v>
      </c>
      <c r="P27">
        <v>2</v>
      </c>
      <c r="Q27">
        <v>2</v>
      </c>
      <c r="R27">
        <v>8040</v>
      </c>
      <c r="S27">
        <v>8040</v>
      </c>
      <c r="T27">
        <v>4020</v>
      </c>
      <c r="U27" t="s">
        <v>56</v>
      </c>
      <c r="V27" s="18">
        <v>45547</v>
      </c>
      <c r="W27" s="18">
        <v>45556</v>
      </c>
      <c r="X27" s="18">
        <v>45557</v>
      </c>
      <c r="Y27" t="s">
        <v>67</v>
      </c>
      <c r="Z27" t="s">
        <v>28</v>
      </c>
      <c r="AA27">
        <v>-1</v>
      </c>
      <c r="AB27" t="s">
        <v>297</v>
      </c>
      <c r="AC27" t="s">
        <v>29</v>
      </c>
    </row>
    <row r="28" spans="1:29" x14ac:dyDescent="0.3">
      <c r="A28">
        <v>28</v>
      </c>
      <c r="B28">
        <v>1509211</v>
      </c>
      <c r="C28">
        <v>1230837</v>
      </c>
      <c r="D28" t="s">
        <v>102</v>
      </c>
      <c r="E28" t="s">
        <v>237</v>
      </c>
      <c r="F28">
        <v>1</v>
      </c>
      <c r="G28" t="s">
        <v>103</v>
      </c>
      <c r="H28" t="s">
        <v>21</v>
      </c>
      <c r="I28" t="s">
        <v>104</v>
      </c>
      <c r="J28" t="s">
        <v>22</v>
      </c>
      <c r="K28" t="s">
        <v>23</v>
      </c>
      <c r="L28" t="s">
        <v>33</v>
      </c>
      <c r="M28" t="s">
        <v>105</v>
      </c>
      <c r="N28">
        <v>1</v>
      </c>
      <c r="O28">
        <v>9399</v>
      </c>
      <c r="P28">
        <v>1</v>
      </c>
      <c r="Q28">
        <v>0</v>
      </c>
      <c r="R28">
        <v>0</v>
      </c>
      <c r="S28">
        <v>9399</v>
      </c>
      <c r="T28">
        <v>9399</v>
      </c>
      <c r="U28" t="s">
        <v>26</v>
      </c>
      <c r="V28" s="18">
        <v>45549</v>
      </c>
      <c r="W28" s="18">
        <v>45557</v>
      </c>
      <c r="Y28" t="s">
        <v>41</v>
      </c>
      <c r="Z28" t="s">
        <v>42</v>
      </c>
      <c r="AA28" t="s">
        <v>42</v>
      </c>
      <c r="AB28" t="s">
        <v>297</v>
      </c>
      <c r="AC28" t="s">
        <v>42</v>
      </c>
    </row>
    <row r="29" spans="1:29" x14ac:dyDescent="0.3">
      <c r="A29">
        <v>29</v>
      </c>
      <c r="B29">
        <v>1536687</v>
      </c>
      <c r="C29">
        <v>1237682</v>
      </c>
      <c r="D29" t="s">
        <v>106</v>
      </c>
      <c r="E29" t="s">
        <v>237</v>
      </c>
      <c r="F29">
        <v>1</v>
      </c>
      <c r="G29" t="s">
        <v>107</v>
      </c>
      <c r="H29" t="s">
        <v>21</v>
      </c>
      <c r="I29" t="s">
        <v>32</v>
      </c>
      <c r="J29" t="s">
        <v>46</v>
      </c>
      <c r="K29" t="s">
        <v>108</v>
      </c>
      <c r="L29" t="s">
        <v>33</v>
      </c>
      <c r="M29" t="s">
        <v>109</v>
      </c>
      <c r="N29">
        <v>0</v>
      </c>
      <c r="O29">
        <v>0</v>
      </c>
      <c r="P29">
        <v>1</v>
      </c>
      <c r="Q29">
        <v>1</v>
      </c>
      <c r="R29">
        <v>8349</v>
      </c>
      <c r="S29">
        <v>8349</v>
      </c>
      <c r="T29">
        <v>8349</v>
      </c>
      <c r="U29" t="s">
        <v>26</v>
      </c>
      <c r="V29" s="18">
        <v>45549</v>
      </c>
      <c r="W29" s="18">
        <v>45557</v>
      </c>
      <c r="X29" s="18">
        <v>45559</v>
      </c>
      <c r="Y29" t="s">
        <v>27</v>
      </c>
      <c r="Z29" t="s">
        <v>28</v>
      </c>
      <c r="AA29">
        <v>-2</v>
      </c>
      <c r="AB29" t="s">
        <v>297</v>
      </c>
      <c r="AC29" t="s">
        <v>29</v>
      </c>
    </row>
    <row r="30" spans="1:29" x14ac:dyDescent="0.3">
      <c r="A30">
        <v>30</v>
      </c>
      <c r="B30">
        <v>1520537</v>
      </c>
      <c r="C30">
        <v>1233624</v>
      </c>
      <c r="D30" t="s">
        <v>246</v>
      </c>
      <c r="E30" t="s">
        <v>237</v>
      </c>
      <c r="F30">
        <v>1</v>
      </c>
      <c r="G30" t="s">
        <v>60</v>
      </c>
      <c r="H30" t="s">
        <v>21</v>
      </c>
      <c r="I30" t="s">
        <v>120</v>
      </c>
      <c r="J30" t="s">
        <v>22</v>
      </c>
      <c r="K30" t="s">
        <v>23</v>
      </c>
      <c r="L30" t="s">
        <v>33</v>
      </c>
      <c r="M30" t="s">
        <v>110</v>
      </c>
      <c r="N30">
        <v>0</v>
      </c>
      <c r="O30">
        <v>0</v>
      </c>
      <c r="P30">
        <v>1</v>
      </c>
      <c r="Q30">
        <v>1</v>
      </c>
      <c r="R30">
        <v>9399</v>
      </c>
      <c r="S30">
        <v>9399</v>
      </c>
      <c r="T30">
        <v>9399</v>
      </c>
      <c r="U30" t="s">
        <v>26</v>
      </c>
      <c r="V30" s="18">
        <v>45548</v>
      </c>
      <c r="W30" s="18">
        <v>45559</v>
      </c>
      <c r="X30" s="18">
        <v>45557</v>
      </c>
      <c r="Y30" t="s">
        <v>27</v>
      </c>
      <c r="Z30" t="s">
        <v>28</v>
      </c>
      <c r="AA30">
        <v>2</v>
      </c>
      <c r="AB30" t="s">
        <v>297</v>
      </c>
      <c r="AC30" t="s">
        <v>49</v>
      </c>
    </row>
    <row r="31" spans="1:29" x14ac:dyDescent="0.3">
      <c r="A31">
        <v>31</v>
      </c>
      <c r="B31">
        <v>1422998</v>
      </c>
      <c r="C31">
        <v>1207350</v>
      </c>
      <c r="D31" t="s">
        <v>247</v>
      </c>
      <c r="E31" t="s">
        <v>237</v>
      </c>
      <c r="F31">
        <v>1</v>
      </c>
      <c r="G31" t="s">
        <v>111</v>
      </c>
      <c r="H31" t="s">
        <v>21</v>
      </c>
      <c r="I31" t="s">
        <v>53</v>
      </c>
      <c r="J31" t="s">
        <v>46</v>
      </c>
      <c r="K31" t="s">
        <v>78</v>
      </c>
      <c r="L31" t="s">
        <v>33</v>
      </c>
      <c r="M31" t="s">
        <v>79</v>
      </c>
      <c r="N31">
        <v>0</v>
      </c>
      <c r="O31">
        <v>0</v>
      </c>
      <c r="P31">
        <v>1</v>
      </c>
      <c r="Q31">
        <v>1</v>
      </c>
      <c r="R31">
        <v>7849</v>
      </c>
      <c r="S31">
        <v>7849</v>
      </c>
      <c r="T31">
        <v>7849</v>
      </c>
      <c r="U31" t="s">
        <v>26</v>
      </c>
      <c r="V31" s="18">
        <v>45547</v>
      </c>
      <c r="W31" s="18">
        <v>45561</v>
      </c>
      <c r="X31" s="18">
        <v>45556</v>
      </c>
      <c r="Y31" t="s">
        <v>27</v>
      </c>
      <c r="Z31" t="s">
        <v>28</v>
      </c>
      <c r="AA31">
        <v>5</v>
      </c>
      <c r="AB31" t="s">
        <v>297</v>
      </c>
      <c r="AC31" t="s">
        <v>49</v>
      </c>
    </row>
    <row r="32" spans="1:29" x14ac:dyDescent="0.3">
      <c r="A32">
        <v>32</v>
      </c>
      <c r="B32">
        <v>24</v>
      </c>
      <c r="C32">
        <v>244</v>
      </c>
      <c r="D32" t="s">
        <v>112</v>
      </c>
      <c r="E32" t="s">
        <v>237</v>
      </c>
      <c r="F32">
        <v>1</v>
      </c>
      <c r="G32" t="s">
        <v>113</v>
      </c>
      <c r="H32" t="s">
        <v>58</v>
      </c>
      <c r="I32" t="s">
        <v>120</v>
      </c>
      <c r="J32" t="s">
        <v>22</v>
      </c>
      <c r="K32" t="s">
        <v>114</v>
      </c>
      <c r="L32" t="s">
        <v>33</v>
      </c>
      <c r="M32" t="s">
        <v>115</v>
      </c>
      <c r="N32">
        <v>1</v>
      </c>
      <c r="O32">
        <v>9450</v>
      </c>
      <c r="P32">
        <v>1</v>
      </c>
      <c r="Q32">
        <v>0</v>
      </c>
      <c r="R32">
        <v>0</v>
      </c>
      <c r="S32">
        <v>9450</v>
      </c>
      <c r="T32">
        <v>9450</v>
      </c>
      <c r="U32" t="s">
        <v>26</v>
      </c>
      <c r="V32" s="18">
        <v>45547</v>
      </c>
      <c r="W32" s="18">
        <v>45561</v>
      </c>
      <c r="Y32" t="s">
        <v>76</v>
      </c>
      <c r="Z32" t="s">
        <v>42</v>
      </c>
      <c r="AA32" t="s">
        <v>42</v>
      </c>
      <c r="AB32" t="s">
        <v>297</v>
      </c>
      <c r="AC32" t="s">
        <v>42</v>
      </c>
    </row>
    <row r="33" spans="1:29" x14ac:dyDescent="0.3">
      <c r="A33">
        <v>33</v>
      </c>
      <c r="B33">
        <v>1459790</v>
      </c>
      <c r="C33">
        <v>1218257</v>
      </c>
      <c r="D33" t="s">
        <v>248</v>
      </c>
      <c r="E33" t="s">
        <v>237</v>
      </c>
      <c r="F33">
        <v>1</v>
      </c>
      <c r="G33" t="s">
        <v>85</v>
      </c>
      <c r="H33" t="s">
        <v>21</v>
      </c>
      <c r="I33" t="s">
        <v>53</v>
      </c>
      <c r="J33" t="s">
        <v>22</v>
      </c>
      <c r="K33" t="s">
        <v>61</v>
      </c>
      <c r="L33" t="s">
        <v>33</v>
      </c>
      <c r="M33" t="s">
        <v>116</v>
      </c>
      <c r="N33">
        <v>0</v>
      </c>
      <c r="O33">
        <v>0</v>
      </c>
      <c r="P33">
        <v>1</v>
      </c>
      <c r="Q33">
        <v>1</v>
      </c>
      <c r="R33">
        <v>7460</v>
      </c>
      <c r="S33">
        <v>7460</v>
      </c>
      <c r="T33">
        <v>7460</v>
      </c>
      <c r="U33" t="s">
        <v>26</v>
      </c>
      <c r="V33" s="18">
        <v>45548</v>
      </c>
      <c r="W33" s="18">
        <v>45561</v>
      </c>
      <c r="X33" s="18">
        <v>45568</v>
      </c>
      <c r="Y33" t="s">
        <v>67</v>
      </c>
      <c r="Z33" t="s">
        <v>28</v>
      </c>
      <c r="AA33">
        <v>-7</v>
      </c>
      <c r="AB33" t="s">
        <v>297</v>
      </c>
      <c r="AC33" t="s">
        <v>29</v>
      </c>
    </row>
    <row r="34" spans="1:29" x14ac:dyDescent="0.3">
      <c r="A34">
        <v>34</v>
      </c>
      <c r="B34">
        <v>1455486</v>
      </c>
      <c r="C34">
        <v>1217163</v>
      </c>
      <c r="D34" t="s">
        <v>117</v>
      </c>
      <c r="E34" t="s">
        <v>237</v>
      </c>
      <c r="F34">
        <v>1</v>
      </c>
      <c r="G34" t="s">
        <v>85</v>
      </c>
      <c r="H34" t="s">
        <v>21</v>
      </c>
      <c r="I34" t="s">
        <v>53</v>
      </c>
      <c r="J34" t="s">
        <v>22</v>
      </c>
      <c r="K34" t="s">
        <v>61</v>
      </c>
      <c r="L34" t="s">
        <v>118</v>
      </c>
      <c r="M34" t="s">
        <v>119</v>
      </c>
      <c r="N34">
        <v>0</v>
      </c>
      <c r="O34">
        <v>0</v>
      </c>
      <c r="P34">
        <v>1</v>
      </c>
      <c r="Q34">
        <v>1</v>
      </c>
      <c r="R34">
        <v>9528</v>
      </c>
      <c r="S34">
        <v>9528</v>
      </c>
      <c r="T34">
        <v>9528</v>
      </c>
      <c r="U34" t="s">
        <v>26</v>
      </c>
      <c r="V34" s="18">
        <v>45548</v>
      </c>
      <c r="W34" s="18">
        <v>45561</v>
      </c>
      <c r="X34" s="18">
        <v>45568</v>
      </c>
      <c r="Y34" t="s">
        <v>67</v>
      </c>
      <c r="Z34" t="s">
        <v>28</v>
      </c>
      <c r="AA34">
        <v>-7</v>
      </c>
      <c r="AB34" t="s">
        <v>297</v>
      </c>
      <c r="AC34" t="s">
        <v>29</v>
      </c>
    </row>
    <row r="35" spans="1:29" x14ac:dyDescent="0.3">
      <c r="A35">
        <v>35</v>
      </c>
      <c r="B35">
        <v>1504407</v>
      </c>
      <c r="C35">
        <v>1229760</v>
      </c>
      <c r="D35" t="s">
        <v>249</v>
      </c>
      <c r="E35" t="s">
        <v>237</v>
      </c>
      <c r="F35">
        <v>1</v>
      </c>
      <c r="G35" t="s">
        <v>60</v>
      </c>
      <c r="H35" t="s">
        <v>21</v>
      </c>
      <c r="I35" t="s">
        <v>120</v>
      </c>
      <c r="J35" t="s">
        <v>22</v>
      </c>
      <c r="K35" t="s">
        <v>38</v>
      </c>
      <c r="L35" t="s">
        <v>50</v>
      </c>
      <c r="M35" t="s">
        <v>121</v>
      </c>
      <c r="N35">
        <v>0</v>
      </c>
      <c r="O35">
        <v>0</v>
      </c>
      <c r="P35">
        <v>1</v>
      </c>
      <c r="Q35">
        <v>1</v>
      </c>
      <c r="R35">
        <v>12999</v>
      </c>
      <c r="S35">
        <v>12999</v>
      </c>
      <c r="T35">
        <v>12999</v>
      </c>
      <c r="U35" t="s">
        <v>26</v>
      </c>
      <c r="V35" s="18">
        <v>45549</v>
      </c>
      <c r="W35" s="18">
        <v>45562</v>
      </c>
      <c r="X35" s="18">
        <v>45567</v>
      </c>
      <c r="Y35" t="s">
        <v>67</v>
      </c>
      <c r="Z35" t="s">
        <v>28</v>
      </c>
      <c r="AA35">
        <v>-5</v>
      </c>
      <c r="AB35" t="s">
        <v>297</v>
      </c>
      <c r="AC35" t="s">
        <v>29</v>
      </c>
    </row>
    <row r="36" spans="1:29" x14ac:dyDescent="0.3">
      <c r="A36">
        <v>36</v>
      </c>
      <c r="B36">
        <v>1423361</v>
      </c>
      <c r="C36">
        <v>1207484</v>
      </c>
      <c r="D36" t="s">
        <v>250</v>
      </c>
      <c r="E36" t="s">
        <v>237</v>
      </c>
      <c r="F36">
        <v>1</v>
      </c>
      <c r="G36" t="s">
        <v>122</v>
      </c>
      <c r="H36" t="s">
        <v>21</v>
      </c>
      <c r="I36" t="s">
        <v>53</v>
      </c>
      <c r="J36" t="s">
        <v>22</v>
      </c>
      <c r="K36" t="s">
        <v>38</v>
      </c>
      <c r="L36" t="s">
        <v>33</v>
      </c>
      <c r="M36" t="s">
        <v>123</v>
      </c>
      <c r="N36">
        <v>0</v>
      </c>
      <c r="O36">
        <v>0</v>
      </c>
      <c r="P36">
        <v>1</v>
      </c>
      <c r="Q36">
        <v>1</v>
      </c>
      <c r="R36">
        <v>5999</v>
      </c>
      <c r="S36">
        <v>5999</v>
      </c>
      <c r="T36">
        <v>5999</v>
      </c>
      <c r="U36" t="s">
        <v>26</v>
      </c>
      <c r="V36" s="18">
        <v>45547</v>
      </c>
      <c r="W36" s="18">
        <v>45564</v>
      </c>
      <c r="X36" s="18">
        <v>45557</v>
      </c>
      <c r="Y36" t="s">
        <v>67</v>
      </c>
      <c r="Z36" t="s">
        <v>28</v>
      </c>
      <c r="AA36">
        <v>7</v>
      </c>
      <c r="AB36" t="s">
        <v>297</v>
      </c>
      <c r="AC36" t="s">
        <v>49</v>
      </c>
    </row>
    <row r="37" spans="1:29" x14ac:dyDescent="0.3">
      <c r="A37">
        <v>37</v>
      </c>
      <c r="B37">
        <v>1415725</v>
      </c>
      <c r="C37">
        <v>1204732</v>
      </c>
      <c r="D37" t="s">
        <v>251</v>
      </c>
      <c r="E37" t="s">
        <v>237</v>
      </c>
      <c r="F37">
        <v>1</v>
      </c>
      <c r="G37" t="s">
        <v>124</v>
      </c>
      <c r="H37" t="s">
        <v>21</v>
      </c>
      <c r="I37" t="s">
        <v>120</v>
      </c>
      <c r="J37" t="s">
        <v>22</v>
      </c>
      <c r="K37" t="s">
        <v>38</v>
      </c>
      <c r="L37" t="s">
        <v>33</v>
      </c>
      <c r="M37" t="s">
        <v>125</v>
      </c>
      <c r="N37">
        <v>0</v>
      </c>
      <c r="O37">
        <v>0</v>
      </c>
      <c r="P37">
        <v>2</v>
      </c>
      <c r="Q37">
        <v>2</v>
      </c>
      <c r="R37">
        <v>23898</v>
      </c>
      <c r="S37">
        <v>23898</v>
      </c>
      <c r="T37">
        <v>11949</v>
      </c>
      <c r="U37" t="s">
        <v>26</v>
      </c>
      <c r="V37" s="18">
        <v>45547</v>
      </c>
      <c r="W37" s="18">
        <v>45564</v>
      </c>
      <c r="X37" s="18">
        <v>45567</v>
      </c>
      <c r="Y37" t="s">
        <v>67</v>
      </c>
      <c r="Z37" t="s">
        <v>28</v>
      </c>
      <c r="AA37">
        <v>-3</v>
      </c>
      <c r="AB37" t="s">
        <v>297</v>
      </c>
      <c r="AC37" t="s">
        <v>29</v>
      </c>
    </row>
    <row r="38" spans="1:29" x14ac:dyDescent="0.3">
      <c r="A38">
        <v>38</v>
      </c>
      <c r="B38">
        <v>1415726</v>
      </c>
      <c r="C38">
        <v>1204732</v>
      </c>
      <c r="D38" t="s">
        <v>251</v>
      </c>
      <c r="E38" t="s">
        <v>237</v>
      </c>
      <c r="F38">
        <v>0</v>
      </c>
      <c r="G38" t="s">
        <v>124</v>
      </c>
      <c r="H38" t="s">
        <v>21</v>
      </c>
      <c r="I38" t="s">
        <v>120</v>
      </c>
      <c r="J38" t="s">
        <v>22</v>
      </c>
      <c r="K38" t="s">
        <v>38</v>
      </c>
      <c r="L38" t="s">
        <v>33</v>
      </c>
      <c r="M38" t="s">
        <v>125</v>
      </c>
      <c r="N38">
        <v>0</v>
      </c>
      <c r="O38">
        <v>0</v>
      </c>
      <c r="P38">
        <v>2</v>
      </c>
      <c r="Q38">
        <v>2</v>
      </c>
      <c r="R38">
        <v>23898</v>
      </c>
      <c r="S38">
        <v>23898</v>
      </c>
      <c r="T38">
        <v>11949</v>
      </c>
      <c r="U38" t="s">
        <v>26</v>
      </c>
      <c r="V38" s="18">
        <v>45547</v>
      </c>
      <c r="W38" s="18">
        <v>45564</v>
      </c>
      <c r="X38" s="18">
        <v>45567</v>
      </c>
      <c r="Y38" t="s">
        <v>67</v>
      </c>
      <c r="Z38" t="s">
        <v>28</v>
      </c>
      <c r="AA38">
        <v>-3</v>
      </c>
      <c r="AB38" t="s">
        <v>297</v>
      </c>
      <c r="AC38" t="s">
        <v>29</v>
      </c>
    </row>
    <row r="39" spans="1:29" x14ac:dyDescent="0.3">
      <c r="A39">
        <v>39</v>
      </c>
      <c r="B39">
        <v>1499397</v>
      </c>
      <c r="C39">
        <v>1228586</v>
      </c>
      <c r="D39" t="s">
        <v>241</v>
      </c>
      <c r="E39" t="s">
        <v>237</v>
      </c>
      <c r="F39">
        <v>0</v>
      </c>
      <c r="G39" t="s">
        <v>126</v>
      </c>
      <c r="H39" t="s">
        <v>21</v>
      </c>
      <c r="I39" t="s">
        <v>53</v>
      </c>
      <c r="J39" t="s">
        <v>22</v>
      </c>
      <c r="K39" t="s">
        <v>114</v>
      </c>
      <c r="L39" t="s">
        <v>24</v>
      </c>
      <c r="M39" t="s">
        <v>127</v>
      </c>
      <c r="N39">
        <v>0</v>
      </c>
      <c r="O39">
        <v>0</v>
      </c>
      <c r="P39">
        <v>1</v>
      </c>
      <c r="Q39">
        <v>1</v>
      </c>
      <c r="R39">
        <v>16599</v>
      </c>
      <c r="S39">
        <v>16599</v>
      </c>
      <c r="T39">
        <v>16599</v>
      </c>
      <c r="U39" t="s">
        <v>26</v>
      </c>
      <c r="V39" s="18">
        <v>45548</v>
      </c>
      <c r="W39" s="18">
        <v>45565</v>
      </c>
      <c r="X39" s="18">
        <v>45568</v>
      </c>
      <c r="Y39" t="s">
        <v>67</v>
      </c>
      <c r="Z39" t="s">
        <v>28</v>
      </c>
      <c r="AA39">
        <v>-3</v>
      </c>
      <c r="AB39" t="s">
        <v>297</v>
      </c>
      <c r="AC39" t="s">
        <v>29</v>
      </c>
    </row>
    <row r="40" spans="1:29" x14ac:dyDescent="0.3">
      <c r="A40">
        <v>40</v>
      </c>
      <c r="B40">
        <v>1458696</v>
      </c>
      <c r="C40">
        <v>1217982</v>
      </c>
      <c r="D40" t="s">
        <v>252</v>
      </c>
      <c r="E40" t="s">
        <v>237</v>
      </c>
      <c r="F40">
        <v>1</v>
      </c>
      <c r="G40" t="s">
        <v>44</v>
      </c>
      <c r="H40" t="s">
        <v>21</v>
      </c>
      <c r="I40" t="s">
        <v>45</v>
      </c>
      <c r="J40" t="s">
        <v>22</v>
      </c>
      <c r="K40" t="s">
        <v>38</v>
      </c>
      <c r="L40" t="s">
        <v>24</v>
      </c>
      <c r="M40" t="s">
        <v>128</v>
      </c>
      <c r="N40">
        <v>0</v>
      </c>
      <c r="O40">
        <v>0</v>
      </c>
      <c r="P40">
        <v>1</v>
      </c>
      <c r="Q40">
        <v>1</v>
      </c>
      <c r="R40">
        <v>10999</v>
      </c>
      <c r="S40">
        <v>10999</v>
      </c>
      <c r="T40">
        <v>10999</v>
      </c>
      <c r="U40" t="s">
        <v>26</v>
      </c>
      <c r="V40" s="18">
        <v>45548</v>
      </c>
      <c r="W40" s="18">
        <v>45565</v>
      </c>
      <c r="X40" s="18">
        <v>45581</v>
      </c>
      <c r="Y40" t="s">
        <v>27</v>
      </c>
      <c r="Z40" t="s">
        <v>28</v>
      </c>
      <c r="AA40">
        <v>-16</v>
      </c>
      <c r="AB40" t="s">
        <v>297</v>
      </c>
      <c r="AC40" t="s">
        <v>29</v>
      </c>
    </row>
    <row r="41" spans="1:29" x14ac:dyDescent="0.3">
      <c r="A41">
        <v>41</v>
      </c>
      <c r="B41">
        <v>1480814</v>
      </c>
      <c r="C41">
        <v>1223964</v>
      </c>
      <c r="D41" t="s">
        <v>253</v>
      </c>
      <c r="E41" t="s">
        <v>237</v>
      </c>
      <c r="F41">
        <v>1</v>
      </c>
      <c r="G41" t="s">
        <v>129</v>
      </c>
      <c r="H41" t="s">
        <v>21</v>
      </c>
      <c r="I41" t="s">
        <v>104</v>
      </c>
      <c r="J41" t="s">
        <v>22</v>
      </c>
      <c r="K41" t="s">
        <v>38</v>
      </c>
      <c r="L41" t="s">
        <v>39</v>
      </c>
      <c r="M41" t="s">
        <v>130</v>
      </c>
      <c r="N41">
        <v>0</v>
      </c>
      <c r="O41">
        <v>0</v>
      </c>
      <c r="P41">
        <v>1</v>
      </c>
      <c r="Q41">
        <v>1</v>
      </c>
      <c r="R41">
        <v>13099</v>
      </c>
      <c r="S41">
        <v>13099</v>
      </c>
      <c r="T41">
        <v>13099</v>
      </c>
      <c r="U41" t="s">
        <v>26</v>
      </c>
      <c r="V41" s="18">
        <v>45548</v>
      </c>
      <c r="W41" s="18">
        <v>45565</v>
      </c>
      <c r="X41" s="18">
        <v>45568</v>
      </c>
      <c r="Y41" t="s">
        <v>27</v>
      </c>
      <c r="Z41" t="s">
        <v>28</v>
      </c>
      <c r="AA41">
        <v>-3</v>
      </c>
      <c r="AB41" t="s">
        <v>297</v>
      </c>
      <c r="AC41" t="s">
        <v>29</v>
      </c>
    </row>
    <row r="42" spans="1:29" x14ac:dyDescent="0.3">
      <c r="A42">
        <v>42</v>
      </c>
      <c r="B42">
        <v>1492471</v>
      </c>
      <c r="C42">
        <v>1227052</v>
      </c>
      <c r="D42" t="s">
        <v>254</v>
      </c>
      <c r="E42" t="s">
        <v>237</v>
      </c>
      <c r="F42">
        <v>1</v>
      </c>
      <c r="G42" t="s">
        <v>60</v>
      </c>
      <c r="H42" t="s">
        <v>21</v>
      </c>
      <c r="I42" t="s">
        <v>120</v>
      </c>
      <c r="J42" t="s">
        <v>22</v>
      </c>
      <c r="K42" t="s">
        <v>38</v>
      </c>
      <c r="L42" t="s">
        <v>131</v>
      </c>
      <c r="M42" t="s">
        <v>132</v>
      </c>
      <c r="N42">
        <v>0</v>
      </c>
      <c r="O42">
        <v>0</v>
      </c>
      <c r="P42">
        <v>1</v>
      </c>
      <c r="Q42">
        <v>1</v>
      </c>
      <c r="R42">
        <v>13849</v>
      </c>
      <c r="S42">
        <v>13849</v>
      </c>
      <c r="T42">
        <v>13849</v>
      </c>
      <c r="U42" t="s">
        <v>26</v>
      </c>
      <c r="V42" s="18">
        <v>45548</v>
      </c>
      <c r="W42" s="18">
        <v>45565</v>
      </c>
      <c r="X42" s="18">
        <v>45585</v>
      </c>
      <c r="Y42" t="s">
        <v>67</v>
      </c>
      <c r="Z42" t="s">
        <v>28</v>
      </c>
      <c r="AA42">
        <v>-20</v>
      </c>
      <c r="AB42" t="s">
        <v>297</v>
      </c>
      <c r="AC42" t="s">
        <v>29</v>
      </c>
    </row>
    <row r="43" spans="1:29" x14ac:dyDescent="0.3">
      <c r="A43">
        <v>43</v>
      </c>
      <c r="B43">
        <v>1507912</v>
      </c>
      <c r="C43">
        <v>1230527</v>
      </c>
      <c r="D43" t="s">
        <v>255</v>
      </c>
      <c r="E43" t="s">
        <v>237</v>
      </c>
      <c r="F43">
        <v>1</v>
      </c>
      <c r="G43" t="s">
        <v>133</v>
      </c>
      <c r="H43" t="s">
        <v>21</v>
      </c>
      <c r="I43" t="s">
        <v>53</v>
      </c>
      <c r="J43" t="s">
        <v>69</v>
      </c>
      <c r="K43" t="s">
        <v>54</v>
      </c>
      <c r="L43" t="s">
        <v>33</v>
      </c>
      <c r="M43" t="s">
        <v>134</v>
      </c>
      <c r="N43">
        <v>0</v>
      </c>
      <c r="O43">
        <v>0</v>
      </c>
      <c r="P43">
        <v>1</v>
      </c>
      <c r="Q43">
        <v>1</v>
      </c>
      <c r="R43">
        <v>21999</v>
      </c>
      <c r="S43">
        <v>21999</v>
      </c>
      <c r="T43">
        <v>21999</v>
      </c>
      <c r="U43" t="s">
        <v>26</v>
      </c>
      <c r="V43" s="18">
        <v>45548</v>
      </c>
      <c r="W43" s="18">
        <v>45565</v>
      </c>
      <c r="X43" s="18">
        <v>45557</v>
      </c>
      <c r="Y43" t="s">
        <v>67</v>
      </c>
      <c r="Z43" t="s">
        <v>28</v>
      </c>
      <c r="AA43">
        <v>8</v>
      </c>
      <c r="AB43" t="s">
        <v>297</v>
      </c>
      <c r="AC43" t="s">
        <v>49</v>
      </c>
    </row>
    <row r="44" spans="1:29" x14ac:dyDescent="0.3">
      <c r="A44">
        <v>44</v>
      </c>
      <c r="B44">
        <v>1525747</v>
      </c>
      <c r="C44">
        <v>1234936</v>
      </c>
      <c r="D44" t="s">
        <v>256</v>
      </c>
      <c r="E44" t="s">
        <v>237</v>
      </c>
      <c r="F44">
        <v>1</v>
      </c>
      <c r="G44" t="s">
        <v>60</v>
      </c>
      <c r="H44" t="s">
        <v>21</v>
      </c>
      <c r="I44" t="s">
        <v>120</v>
      </c>
      <c r="J44" t="s">
        <v>22</v>
      </c>
      <c r="K44" t="s">
        <v>38</v>
      </c>
      <c r="L44" t="s">
        <v>24</v>
      </c>
      <c r="M44" t="s">
        <v>128</v>
      </c>
      <c r="N44">
        <v>0</v>
      </c>
      <c r="O44">
        <v>0</v>
      </c>
      <c r="P44">
        <v>1</v>
      </c>
      <c r="Q44">
        <v>1</v>
      </c>
      <c r="R44">
        <v>10999</v>
      </c>
      <c r="S44">
        <v>10999</v>
      </c>
      <c r="T44">
        <v>10999</v>
      </c>
      <c r="U44" t="s">
        <v>26</v>
      </c>
      <c r="V44" s="18">
        <v>45548</v>
      </c>
      <c r="W44" s="18">
        <v>45565</v>
      </c>
      <c r="X44" s="18">
        <v>45580</v>
      </c>
      <c r="Y44" t="s">
        <v>67</v>
      </c>
      <c r="Z44" t="s">
        <v>28</v>
      </c>
      <c r="AA44">
        <v>-15</v>
      </c>
      <c r="AB44" t="s">
        <v>297</v>
      </c>
      <c r="AC44" t="s">
        <v>29</v>
      </c>
    </row>
    <row r="45" spans="1:29" x14ac:dyDescent="0.3">
      <c r="A45">
        <v>45</v>
      </c>
      <c r="B45">
        <v>1536313</v>
      </c>
      <c r="C45">
        <v>1237601</v>
      </c>
      <c r="D45" t="s">
        <v>257</v>
      </c>
      <c r="E45" t="s">
        <v>237</v>
      </c>
      <c r="F45">
        <v>1</v>
      </c>
      <c r="G45" t="s">
        <v>91</v>
      </c>
      <c r="H45" t="s">
        <v>21</v>
      </c>
      <c r="I45" t="s">
        <v>53</v>
      </c>
      <c r="J45" t="s">
        <v>22</v>
      </c>
      <c r="K45" t="s">
        <v>114</v>
      </c>
      <c r="L45" t="s">
        <v>33</v>
      </c>
      <c r="M45" t="s">
        <v>135</v>
      </c>
      <c r="N45">
        <v>0</v>
      </c>
      <c r="O45">
        <v>0</v>
      </c>
      <c r="P45">
        <v>1</v>
      </c>
      <c r="Q45">
        <v>1</v>
      </c>
      <c r="R45">
        <v>17249</v>
      </c>
      <c r="S45">
        <v>17249</v>
      </c>
      <c r="T45">
        <v>17249</v>
      </c>
      <c r="U45" t="s">
        <v>26</v>
      </c>
      <c r="V45" s="18">
        <v>45548</v>
      </c>
      <c r="W45" s="18">
        <v>45565</v>
      </c>
      <c r="X45" s="18">
        <v>45569</v>
      </c>
      <c r="Y45" t="s">
        <v>67</v>
      </c>
      <c r="Z45" t="s">
        <v>28</v>
      </c>
      <c r="AA45">
        <v>-4</v>
      </c>
      <c r="AB45" t="s">
        <v>297</v>
      </c>
      <c r="AC45" t="s">
        <v>29</v>
      </c>
    </row>
    <row r="46" spans="1:29" x14ac:dyDescent="0.3">
      <c r="A46">
        <v>46</v>
      </c>
      <c r="B46">
        <v>1505609</v>
      </c>
      <c r="C46">
        <v>1230031</v>
      </c>
      <c r="D46" t="s">
        <v>258</v>
      </c>
      <c r="E46" t="s">
        <v>237</v>
      </c>
      <c r="F46">
        <v>1</v>
      </c>
      <c r="G46" t="s">
        <v>136</v>
      </c>
      <c r="H46" t="s">
        <v>21</v>
      </c>
      <c r="I46" t="s">
        <v>120</v>
      </c>
      <c r="J46" t="s">
        <v>46</v>
      </c>
      <c r="K46" t="s">
        <v>78</v>
      </c>
      <c r="L46" t="s">
        <v>33</v>
      </c>
      <c r="M46" t="s">
        <v>137</v>
      </c>
      <c r="N46">
        <v>0</v>
      </c>
      <c r="O46">
        <v>0</v>
      </c>
      <c r="P46">
        <v>1</v>
      </c>
      <c r="Q46">
        <v>1</v>
      </c>
      <c r="R46">
        <v>8349</v>
      </c>
      <c r="S46">
        <v>8349</v>
      </c>
      <c r="T46">
        <v>8349</v>
      </c>
      <c r="U46" t="s">
        <v>26</v>
      </c>
      <c r="V46" s="18">
        <v>45549</v>
      </c>
      <c r="W46" s="18">
        <v>45581</v>
      </c>
      <c r="X46" s="18">
        <v>45586</v>
      </c>
      <c r="Y46" t="s">
        <v>67</v>
      </c>
      <c r="Z46" t="s">
        <v>28</v>
      </c>
      <c r="AA46">
        <v>-5</v>
      </c>
      <c r="AB46" t="s">
        <v>297</v>
      </c>
      <c r="AC46" t="s">
        <v>29</v>
      </c>
    </row>
    <row r="47" spans="1:29" x14ac:dyDescent="0.3">
      <c r="A47">
        <v>47</v>
      </c>
      <c r="B47">
        <v>1612229</v>
      </c>
      <c r="C47">
        <v>1254076</v>
      </c>
      <c r="D47" t="s">
        <v>259</v>
      </c>
      <c r="E47" t="s">
        <v>237</v>
      </c>
      <c r="F47">
        <v>1</v>
      </c>
      <c r="G47" t="s">
        <v>77</v>
      </c>
      <c r="H47" t="s">
        <v>21</v>
      </c>
      <c r="I47" t="s">
        <v>53</v>
      </c>
      <c r="J47" t="s">
        <v>46</v>
      </c>
      <c r="K47" t="s">
        <v>47</v>
      </c>
      <c r="L47" t="s">
        <v>33</v>
      </c>
      <c r="M47" t="s">
        <v>48</v>
      </c>
      <c r="N47">
        <v>0</v>
      </c>
      <c r="O47">
        <v>0</v>
      </c>
      <c r="P47">
        <v>1</v>
      </c>
      <c r="Q47">
        <v>1</v>
      </c>
      <c r="R47">
        <v>7849</v>
      </c>
      <c r="S47">
        <v>7849</v>
      </c>
      <c r="T47">
        <v>7849</v>
      </c>
      <c r="U47" t="s">
        <v>26</v>
      </c>
      <c r="V47" s="18">
        <v>45549</v>
      </c>
      <c r="W47" s="18">
        <v>45594</v>
      </c>
      <c r="X47" s="18">
        <v>45595</v>
      </c>
      <c r="Y47" t="s">
        <v>67</v>
      </c>
      <c r="Z47" t="s">
        <v>28</v>
      </c>
      <c r="AA47">
        <v>-1</v>
      </c>
      <c r="AB47" t="s">
        <v>297</v>
      </c>
      <c r="AC47" t="s">
        <v>29</v>
      </c>
    </row>
    <row r="48" spans="1:29" x14ac:dyDescent="0.3">
      <c r="A48">
        <v>48</v>
      </c>
      <c r="B48">
        <v>1673771</v>
      </c>
      <c r="C48">
        <v>1269559</v>
      </c>
      <c r="D48" t="s">
        <v>138</v>
      </c>
      <c r="E48" t="s">
        <v>237</v>
      </c>
      <c r="F48">
        <v>1</v>
      </c>
      <c r="G48" t="s">
        <v>60</v>
      </c>
      <c r="H48" t="s">
        <v>21</v>
      </c>
      <c r="I48" t="s">
        <v>120</v>
      </c>
      <c r="J48" t="s">
        <v>22</v>
      </c>
      <c r="K48" t="s">
        <v>23</v>
      </c>
      <c r="L48" t="s">
        <v>33</v>
      </c>
      <c r="M48" t="s">
        <v>139</v>
      </c>
      <c r="N48">
        <v>0</v>
      </c>
      <c r="O48">
        <v>0</v>
      </c>
      <c r="P48">
        <v>1</v>
      </c>
      <c r="Q48">
        <v>1</v>
      </c>
      <c r="R48">
        <v>9399</v>
      </c>
      <c r="S48">
        <v>9399</v>
      </c>
      <c r="T48">
        <v>9399</v>
      </c>
      <c r="U48" t="s">
        <v>26</v>
      </c>
      <c r="V48" s="18">
        <v>45549</v>
      </c>
      <c r="W48" s="18">
        <v>45594</v>
      </c>
      <c r="X48" s="18">
        <v>45580</v>
      </c>
      <c r="Y48" t="s">
        <v>67</v>
      </c>
      <c r="Z48" t="s">
        <v>28</v>
      </c>
      <c r="AA48">
        <v>14</v>
      </c>
      <c r="AB48" t="s">
        <v>297</v>
      </c>
      <c r="AC48" t="s">
        <v>49</v>
      </c>
    </row>
    <row r="49" spans="1:29" x14ac:dyDescent="0.3">
      <c r="A49">
        <v>49</v>
      </c>
      <c r="B49">
        <v>1667352</v>
      </c>
      <c r="C49">
        <v>1267819</v>
      </c>
      <c r="D49" t="s">
        <v>260</v>
      </c>
      <c r="E49" t="s">
        <v>237</v>
      </c>
      <c r="F49">
        <v>1</v>
      </c>
      <c r="G49" t="s">
        <v>140</v>
      </c>
      <c r="H49" t="s">
        <v>21</v>
      </c>
      <c r="I49" t="s">
        <v>120</v>
      </c>
      <c r="J49" t="s">
        <v>22</v>
      </c>
      <c r="K49" t="s">
        <v>61</v>
      </c>
      <c r="L49" t="s">
        <v>33</v>
      </c>
      <c r="M49" t="s">
        <v>141</v>
      </c>
      <c r="N49">
        <v>0</v>
      </c>
      <c r="O49">
        <v>0</v>
      </c>
      <c r="P49">
        <v>1</v>
      </c>
      <c r="Q49">
        <v>1</v>
      </c>
      <c r="R49">
        <v>11817</v>
      </c>
      <c r="S49">
        <v>11817</v>
      </c>
      <c r="T49">
        <v>11817</v>
      </c>
      <c r="U49" t="s">
        <v>26</v>
      </c>
      <c r="V49" s="18">
        <v>45549</v>
      </c>
      <c r="W49" s="18">
        <v>45594</v>
      </c>
      <c r="X49" s="18">
        <v>45580</v>
      </c>
      <c r="Y49" t="s">
        <v>67</v>
      </c>
      <c r="Z49" t="s">
        <v>28</v>
      </c>
      <c r="AA49">
        <v>14</v>
      </c>
      <c r="AB49" t="s">
        <v>297</v>
      </c>
      <c r="AC49" t="s">
        <v>49</v>
      </c>
    </row>
    <row r="50" spans="1:29" x14ac:dyDescent="0.3">
      <c r="A50">
        <v>50</v>
      </c>
      <c r="B50">
        <v>1649781</v>
      </c>
      <c r="C50">
        <v>1263160</v>
      </c>
      <c r="D50" t="s">
        <v>261</v>
      </c>
      <c r="E50" t="s">
        <v>237</v>
      </c>
      <c r="F50">
        <v>1</v>
      </c>
      <c r="G50" t="s">
        <v>126</v>
      </c>
      <c r="H50" t="s">
        <v>21</v>
      </c>
      <c r="I50" t="s">
        <v>53</v>
      </c>
      <c r="J50" t="s">
        <v>46</v>
      </c>
      <c r="K50" t="s">
        <v>108</v>
      </c>
      <c r="L50" t="s">
        <v>33</v>
      </c>
      <c r="M50" t="s">
        <v>142</v>
      </c>
      <c r="N50">
        <v>0</v>
      </c>
      <c r="O50">
        <v>0</v>
      </c>
      <c r="P50">
        <v>1</v>
      </c>
      <c r="Q50">
        <v>1</v>
      </c>
      <c r="R50">
        <v>8349</v>
      </c>
      <c r="S50">
        <v>8349</v>
      </c>
      <c r="T50">
        <v>8349</v>
      </c>
      <c r="U50" t="s">
        <v>26</v>
      </c>
      <c r="V50" s="18">
        <v>45549</v>
      </c>
      <c r="W50" s="18">
        <v>45594</v>
      </c>
      <c r="X50" s="18">
        <v>45584</v>
      </c>
      <c r="Y50" t="s">
        <v>67</v>
      </c>
      <c r="Z50" t="s">
        <v>28</v>
      </c>
      <c r="AA50">
        <v>10</v>
      </c>
      <c r="AB50" t="s">
        <v>297</v>
      </c>
      <c r="AC50" t="s">
        <v>49</v>
      </c>
    </row>
    <row r="51" spans="1:29" x14ac:dyDescent="0.3">
      <c r="A51">
        <v>51</v>
      </c>
      <c r="B51">
        <v>1681476</v>
      </c>
      <c r="C51">
        <v>1271813</v>
      </c>
      <c r="D51" t="s">
        <v>262</v>
      </c>
      <c r="E51" t="s">
        <v>237</v>
      </c>
      <c r="F51">
        <v>1</v>
      </c>
      <c r="G51" t="s">
        <v>143</v>
      </c>
      <c r="H51" t="s">
        <v>21</v>
      </c>
      <c r="I51" t="s">
        <v>53</v>
      </c>
      <c r="J51" t="s">
        <v>22</v>
      </c>
      <c r="K51" t="s">
        <v>61</v>
      </c>
      <c r="L51" t="s">
        <v>24</v>
      </c>
      <c r="M51" t="s">
        <v>144</v>
      </c>
      <c r="N51">
        <v>1</v>
      </c>
      <c r="O51">
        <v>17886</v>
      </c>
      <c r="P51">
        <v>1</v>
      </c>
      <c r="Q51">
        <v>0</v>
      </c>
      <c r="R51">
        <v>0</v>
      </c>
      <c r="S51">
        <v>17886</v>
      </c>
      <c r="T51">
        <v>17886</v>
      </c>
      <c r="U51" t="s">
        <v>26</v>
      </c>
      <c r="V51" s="18">
        <v>45549</v>
      </c>
      <c r="W51" s="18">
        <v>45594</v>
      </c>
      <c r="Y51" t="s">
        <v>76</v>
      </c>
      <c r="Z51" t="s">
        <v>42</v>
      </c>
      <c r="AA51" t="s">
        <v>42</v>
      </c>
      <c r="AB51" t="s">
        <v>297</v>
      </c>
      <c r="AC51" t="s">
        <v>42</v>
      </c>
    </row>
    <row r="52" spans="1:29" x14ac:dyDescent="0.3">
      <c r="A52">
        <v>52</v>
      </c>
      <c r="B52">
        <v>1681477</v>
      </c>
      <c r="C52">
        <v>1271813</v>
      </c>
      <c r="D52" t="s">
        <v>262</v>
      </c>
      <c r="E52" t="s">
        <v>237</v>
      </c>
      <c r="F52">
        <v>0</v>
      </c>
      <c r="G52" t="s">
        <v>143</v>
      </c>
      <c r="H52" t="s">
        <v>21</v>
      </c>
      <c r="I52" t="s">
        <v>53</v>
      </c>
      <c r="J52" t="s">
        <v>22</v>
      </c>
      <c r="K52" t="s">
        <v>61</v>
      </c>
      <c r="L52" t="s">
        <v>24</v>
      </c>
      <c r="M52" t="s">
        <v>144</v>
      </c>
      <c r="N52">
        <v>1</v>
      </c>
      <c r="O52">
        <v>17886</v>
      </c>
      <c r="P52">
        <v>1</v>
      </c>
      <c r="Q52">
        <v>0</v>
      </c>
      <c r="R52">
        <v>0</v>
      </c>
      <c r="S52">
        <v>17886</v>
      </c>
      <c r="T52">
        <v>17886</v>
      </c>
      <c r="U52" t="s">
        <v>26</v>
      </c>
      <c r="V52" s="18">
        <v>45549</v>
      </c>
      <c r="W52" s="18">
        <v>45594</v>
      </c>
      <c r="Y52" t="s">
        <v>76</v>
      </c>
      <c r="Z52" t="s">
        <v>42</v>
      </c>
      <c r="AA52" t="s">
        <v>42</v>
      </c>
      <c r="AB52" t="s">
        <v>297</v>
      </c>
      <c r="AC52" t="s">
        <v>42</v>
      </c>
    </row>
    <row r="53" spans="1:29" x14ac:dyDescent="0.3">
      <c r="A53">
        <v>53</v>
      </c>
      <c r="B53">
        <v>1677530</v>
      </c>
      <c r="C53">
        <v>1270704</v>
      </c>
      <c r="D53" t="s">
        <v>145</v>
      </c>
      <c r="E53" t="s">
        <v>237</v>
      </c>
      <c r="F53">
        <v>1</v>
      </c>
      <c r="G53" t="s">
        <v>85</v>
      </c>
      <c r="H53" t="s">
        <v>21</v>
      </c>
      <c r="I53" t="s">
        <v>53</v>
      </c>
      <c r="J53" t="s">
        <v>22</v>
      </c>
      <c r="K53" t="s">
        <v>61</v>
      </c>
      <c r="L53" t="s">
        <v>24</v>
      </c>
      <c r="M53" t="s">
        <v>146</v>
      </c>
      <c r="N53">
        <v>0</v>
      </c>
      <c r="O53">
        <v>0</v>
      </c>
      <c r="P53">
        <v>1</v>
      </c>
      <c r="Q53">
        <v>1</v>
      </c>
      <c r="R53">
        <v>10987</v>
      </c>
      <c r="S53">
        <v>10987</v>
      </c>
      <c r="T53">
        <v>10987</v>
      </c>
      <c r="U53" t="s">
        <v>26</v>
      </c>
      <c r="V53" s="18">
        <v>45549</v>
      </c>
      <c r="W53" s="18">
        <v>45594</v>
      </c>
      <c r="X53" s="18">
        <v>45578</v>
      </c>
      <c r="Y53" t="s">
        <v>67</v>
      </c>
      <c r="Z53" t="s">
        <v>28</v>
      </c>
      <c r="AA53">
        <v>16</v>
      </c>
      <c r="AB53" t="s">
        <v>297</v>
      </c>
      <c r="AC53" t="s">
        <v>49</v>
      </c>
    </row>
    <row r="54" spans="1:29" x14ac:dyDescent="0.3">
      <c r="A54">
        <v>54</v>
      </c>
      <c r="B54">
        <v>1677528</v>
      </c>
      <c r="C54">
        <v>1270704</v>
      </c>
      <c r="D54" t="s">
        <v>145</v>
      </c>
      <c r="E54" t="s">
        <v>237</v>
      </c>
      <c r="F54">
        <v>0</v>
      </c>
      <c r="G54" t="s">
        <v>85</v>
      </c>
      <c r="H54" t="s">
        <v>21</v>
      </c>
      <c r="I54" t="s">
        <v>53</v>
      </c>
      <c r="J54" t="s">
        <v>22</v>
      </c>
      <c r="K54" t="s">
        <v>61</v>
      </c>
      <c r="L54" t="s">
        <v>24</v>
      </c>
      <c r="M54" t="s">
        <v>147</v>
      </c>
      <c r="N54">
        <v>0</v>
      </c>
      <c r="O54">
        <v>0</v>
      </c>
      <c r="P54">
        <v>1</v>
      </c>
      <c r="Q54">
        <v>1</v>
      </c>
      <c r="R54">
        <v>10987</v>
      </c>
      <c r="S54">
        <v>10987</v>
      </c>
      <c r="T54">
        <v>10987</v>
      </c>
      <c r="U54" t="s">
        <v>26</v>
      </c>
      <c r="V54" s="18">
        <v>45549</v>
      </c>
      <c r="W54" s="18">
        <v>45594</v>
      </c>
      <c r="X54" s="18">
        <v>45578</v>
      </c>
      <c r="Y54" t="s">
        <v>67</v>
      </c>
      <c r="Z54" t="s">
        <v>28</v>
      </c>
      <c r="AA54">
        <v>16</v>
      </c>
      <c r="AB54" t="s">
        <v>297</v>
      </c>
      <c r="AC54" t="s">
        <v>49</v>
      </c>
    </row>
    <row r="55" spans="1:29" x14ac:dyDescent="0.3">
      <c r="A55">
        <v>55</v>
      </c>
      <c r="B55">
        <v>1657744</v>
      </c>
      <c r="C55">
        <v>1265268</v>
      </c>
      <c r="D55" t="s">
        <v>263</v>
      </c>
      <c r="E55" t="s">
        <v>237</v>
      </c>
      <c r="F55">
        <v>1</v>
      </c>
      <c r="G55" t="s">
        <v>148</v>
      </c>
      <c r="H55" t="s">
        <v>21</v>
      </c>
      <c r="I55" t="s">
        <v>99</v>
      </c>
      <c r="J55" t="s">
        <v>46</v>
      </c>
      <c r="K55" t="s">
        <v>78</v>
      </c>
      <c r="L55" t="s">
        <v>33</v>
      </c>
      <c r="M55" t="s">
        <v>79</v>
      </c>
      <c r="N55">
        <v>0</v>
      </c>
      <c r="O55">
        <v>0</v>
      </c>
      <c r="P55">
        <v>1</v>
      </c>
      <c r="Q55">
        <v>1</v>
      </c>
      <c r="R55">
        <v>10319</v>
      </c>
      <c r="S55">
        <v>10319</v>
      </c>
      <c r="T55">
        <v>10319</v>
      </c>
      <c r="U55" t="s">
        <v>26</v>
      </c>
      <c r="V55" s="18">
        <v>45549</v>
      </c>
      <c r="W55" s="18">
        <v>45594</v>
      </c>
      <c r="X55" s="18">
        <v>45584</v>
      </c>
      <c r="Y55" t="s">
        <v>67</v>
      </c>
      <c r="Z55" t="s">
        <v>28</v>
      </c>
      <c r="AA55">
        <v>10</v>
      </c>
      <c r="AB55" t="s">
        <v>297</v>
      </c>
      <c r="AC55" t="s">
        <v>49</v>
      </c>
    </row>
    <row r="56" spans="1:29" x14ac:dyDescent="0.3">
      <c r="A56">
        <v>56</v>
      </c>
      <c r="B56">
        <v>1610613</v>
      </c>
      <c r="C56">
        <v>1253646</v>
      </c>
      <c r="D56" t="s">
        <v>264</v>
      </c>
      <c r="E56" t="s">
        <v>237</v>
      </c>
      <c r="F56">
        <v>1</v>
      </c>
      <c r="G56" t="s">
        <v>149</v>
      </c>
      <c r="H56" t="s">
        <v>21</v>
      </c>
      <c r="I56" t="s">
        <v>150</v>
      </c>
      <c r="J56" t="s">
        <v>22</v>
      </c>
      <c r="K56" t="s">
        <v>38</v>
      </c>
      <c r="L56" t="s">
        <v>50</v>
      </c>
      <c r="M56" t="s">
        <v>151</v>
      </c>
      <c r="N56">
        <v>0</v>
      </c>
      <c r="O56">
        <v>0</v>
      </c>
      <c r="P56">
        <v>1</v>
      </c>
      <c r="Q56">
        <v>1</v>
      </c>
      <c r="R56">
        <v>12999</v>
      </c>
      <c r="S56">
        <v>12999</v>
      </c>
      <c r="T56">
        <v>12999</v>
      </c>
      <c r="U56" t="s">
        <v>26</v>
      </c>
      <c r="V56" s="18">
        <v>45549</v>
      </c>
      <c r="W56" s="18">
        <v>45616</v>
      </c>
      <c r="X56" s="18">
        <v>45582</v>
      </c>
      <c r="Y56" t="s">
        <v>27</v>
      </c>
      <c r="Z56" t="s">
        <v>28</v>
      </c>
      <c r="AA56">
        <v>34</v>
      </c>
      <c r="AB56" t="s">
        <v>297</v>
      </c>
      <c r="AC56" t="s">
        <v>49</v>
      </c>
    </row>
    <row r="57" spans="1:29" x14ac:dyDescent="0.3">
      <c r="A57">
        <v>57</v>
      </c>
      <c r="B57">
        <v>1608468</v>
      </c>
      <c r="C57">
        <v>1253172</v>
      </c>
      <c r="D57" t="s">
        <v>152</v>
      </c>
      <c r="E57" t="s">
        <v>237</v>
      </c>
      <c r="F57">
        <v>1</v>
      </c>
      <c r="G57" t="s">
        <v>153</v>
      </c>
      <c r="H57" t="s">
        <v>21</v>
      </c>
      <c r="I57" t="s">
        <v>45</v>
      </c>
      <c r="J57" t="s">
        <v>69</v>
      </c>
      <c r="K57" t="s">
        <v>54</v>
      </c>
      <c r="L57" t="s">
        <v>33</v>
      </c>
      <c r="M57" t="s">
        <v>134</v>
      </c>
      <c r="N57">
        <v>1</v>
      </c>
      <c r="O57">
        <v>21999</v>
      </c>
      <c r="P57">
        <v>1</v>
      </c>
      <c r="Q57">
        <v>0</v>
      </c>
      <c r="R57">
        <v>0</v>
      </c>
      <c r="S57">
        <v>21999</v>
      </c>
      <c r="T57">
        <v>21999</v>
      </c>
      <c r="U57" t="s">
        <v>26</v>
      </c>
      <c r="V57" s="18">
        <v>45549</v>
      </c>
      <c r="W57" s="18">
        <v>45616</v>
      </c>
      <c r="Y57" t="s">
        <v>76</v>
      </c>
      <c r="Z57" t="s">
        <v>42</v>
      </c>
      <c r="AA57" t="s">
        <v>42</v>
      </c>
      <c r="AB57" t="s">
        <v>297</v>
      </c>
      <c r="AC57" t="s">
        <v>42</v>
      </c>
    </row>
    <row r="58" spans="1:29" x14ac:dyDescent="0.3">
      <c r="A58">
        <v>58</v>
      </c>
      <c r="B58">
        <v>1654554</v>
      </c>
      <c r="C58">
        <v>1264469</v>
      </c>
      <c r="D58" t="s">
        <v>265</v>
      </c>
      <c r="E58" t="s">
        <v>237</v>
      </c>
      <c r="F58">
        <v>1</v>
      </c>
      <c r="G58" t="s">
        <v>126</v>
      </c>
      <c r="H58" t="s">
        <v>21</v>
      </c>
      <c r="I58" t="s">
        <v>53</v>
      </c>
      <c r="J58" t="s">
        <v>22</v>
      </c>
      <c r="K58" t="s">
        <v>38</v>
      </c>
      <c r="L58" t="s">
        <v>50</v>
      </c>
      <c r="M58" t="s">
        <v>154</v>
      </c>
      <c r="N58">
        <v>0</v>
      </c>
      <c r="O58">
        <v>0</v>
      </c>
      <c r="P58">
        <v>1</v>
      </c>
      <c r="Q58">
        <v>1</v>
      </c>
      <c r="R58">
        <v>12399</v>
      </c>
      <c r="S58">
        <v>12399</v>
      </c>
      <c r="T58">
        <v>12399</v>
      </c>
      <c r="U58" t="s">
        <v>26</v>
      </c>
      <c r="V58" s="18">
        <v>45549</v>
      </c>
      <c r="W58" s="18">
        <v>45616</v>
      </c>
      <c r="X58" s="18">
        <v>45566</v>
      </c>
      <c r="Y58" t="s">
        <v>27</v>
      </c>
      <c r="Z58" t="s">
        <v>28</v>
      </c>
      <c r="AA58">
        <v>50</v>
      </c>
      <c r="AB58" t="s">
        <v>297</v>
      </c>
      <c r="AC58" t="s">
        <v>49</v>
      </c>
    </row>
    <row r="59" spans="1:29" x14ac:dyDescent="0.3">
      <c r="A59">
        <v>59</v>
      </c>
      <c r="B59">
        <v>1644504</v>
      </c>
      <c r="C59">
        <v>1261644</v>
      </c>
      <c r="D59" t="s">
        <v>155</v>
      </c>
      <c r="E59" t="s">
        <v>237</v>
      </c>
      <c r="F59">
        <v>1</v>
      </c>
      <c r="G59" t="s">
        <v>85</v>
      </c>
      <c r="H59" t="s">
        <v>21</v>
      </c>
      <c r="I59" t="s">
        <v>53</v>
      </c>
      <c r="J59" t="s">
        <v>69</v>
      </c>
      <c r="K59" t="s">
        <v>54</v>
      </c>
      <c r="L59" t="s">
        <v>33</v>
      </c>
      <c r="M59" t="s">
        <v>134</v>
      </c>
      <c r="N59">
        <v>0</v>
      </c>
      <c r="O59">
        <v>0</v>
      </c>
      <c r="P59">
        <v>1</v>
      </c>
      <c r="Q59">
        <v>1</v>
      </c>
      <c r="R59">
        <v>21999</v>
      </c>
      <c r="S59">
        <v>21999</v>
      </c>
      <c r="T59">
        <v>21999</v>
      </c>
      <c r="U59" t="s">
        <v>26</v>
      </c>
      <c r="V59" s="18">
        <v>45549</v>
      </c>
      <c r="W59" s="18">
        <v>45616</v>
      </c>
      <c r="X59" s="18">
        <v>45574</v>
      </c>
      <c r="Y59" t="s">
        <v>67</v>
      </c>
      <c r="Z59" t="s">
        <v>28</v>
      </c>
      <c r="AA59">
        <v>42</v>
      </c>
      <c r="AB59" t="s">
        <v>297</v>
      </c>
      <c r="AC59" t="s">
        <v>49</v>
      </c>
    </row>
    <row r="60" spans="1:29" x14ac:dyDescent="0.3">
      <c r="A60">
        <v>60</v>
      </c>
      <c r="B60">
        <v>1655447</v>
      </c>
      <c r="C60">
        <v>1264684</v>
      </c>
      <c r="D60" t="s">
        <v>266</v>
      </c>
      <c r="E60" t="s">
        <v>237</v>
      </c>
      <c r="F60">
        <v>1</v>
      </c>
      <c r="G60" t="s">
        <v>77</v>
      </c>
      <c r="H60" t="s">
        <v>21</v>
      </c>
      <c r="I60" t="s">
        <v>53</v>
      </c>
      <c r="J60" t="s">
        <v>22</v>
      </c>
      <c r="K60" t="s">
        <v>38</v>
      </c>
      <c r="L60" t="s">
        <v>24</v>
      </c>
      <c r="M60" t="s">
        <v>156</v>
      </c>
      <c r="N60">
        <v>0</v>
      </c>
      <c r="O60">
        <v>0</v>
      </c>
      <c r="P60">
        <v>1</v>
      </c>
      <c r="Q60">
        <v>1</v>
      </c>
      <c r="R60">
        <v>10999</v>
      </c>
      <c r="S60">
        <v>10999</v>
      </c>
      <c r="T60">
        <v>10999</v>
      </c>
      <c r="U60" t="s">
        <v>26</v>
      </c>
      <c r="V60" s="18">
        <v>45549</v>
      </c>
      <c r="W60" s="18">
        <v>45616</v>
      </c>
      <c r="X60" s="18">
        <v>45581</v>
      </c>
      <c r="Y60" t="s">
        <v>67</v>
      </c>
      <c r="Z60" t="s">
        <v>28</v>
      </c>
      <c r="AA60">
        <v>35</v>
      </c>
      <c r="AB60" t="s">
        <v>297</v>
      </c>
      <c r="AC60" t="s">
        <v>49</v>
      </c>
    </row>
    <row r="61" spans="1:29" x14ac:dyDescent="0.3">
      <c r="A61">
        <v>61</v>
      </c>
      <c r="B61">
        <v>1679731</v>
      </c>
      <c r="C61">
        <v>1271291</v>
      </c>
      <c r="D61" t="s">
        <v>157</v>
      </c>
      <c r="E61" t="s">
        <v>237</v>
      </c>
      <c r="F61">
        <v>1</v>
      </c>
      <c r="G61" t="s">
        <v>91</v>
      </c>
      <c r="H61" t="s">
        <v>21</v>
      </c>
      <c r="I61" t="s">
        <v>53</v>
      </c>
      <c r="J61" t="s">
        <v>22</v>
      </c>
      <c r="K61" t="s">
        <v>38</v>
      </c>
      <c r="L61" t="s">
        <v>24</v>
      </c>
      <c r="M61" t="s">
        <v>158</v>
      </c>
      <c r="N61">
        <v>0</v>
      </c>
      <c r="O61">
        <v>0</v>
      </c>
      <c r="P61">
        <v>1</v>
      </c>
      <c r="Q61">
        <v>1</v>
      </c>
      <c r="R61">
        <v>10999</v>
      </c>
      <c r="S61">
        <v>10999</v>
      </c>
      <c r="T61">
        <v>10999</v>
      </c>
      <c r="U61" t="s">
        <v>26</v>
      </c>
      <c r="V61" s="18">
        <v>45550</v>
      </c>
      <c r="W61" s="18">
        <v>45616</v>
      </c>
      <c r="X61" s="18">
        <v>45581</v>
      </c>
      <c r="Y61" t="s">
        <v>67</v>
      </c>
      <c r="Z61" t="s">
        <v>28</v>
      </c>
      <c r="AA61">
        <v>35</v>
      </c>
      <c r="AB61" t="s">
        <v>297</v>
      </c>
      <c r="AC61" t="s">
        <v>49</v>
      </c>
    </row>
    <row r="62" spans="1:29" x14ac:dyDescent="0.3">
      <c r="A62">
        <v>62</v>
      </c>
      <c r="B62">
        <v>1679739</v>
      </c>
      <c r="C62">
        <v>1271291</v>
      </c>
      <c r="D62" t="s">
        <v>157</v>
      </c>
      <c r="E62" t="s">
        <v>237</v>
      </c>
      <c r="F62">
        <v>0</v>
      </c>
      <c r="G62" t="s">
        <v>91</v>
      </c>
      <c r="H62" t="s">
        <v>21</v>
      </c>
      <c r="I62" t="s">
        <v>53</v>
      </c>
      <c r="J62" t="s">
        <v>22</v>
      </c>
      <c r="K62" t="s">
        <v>38</v>
      </c>
      <c r="L62" t="s">
        <v>24</v>
      </c>
      <c r="M62" t="s">
        <v>158</v>
      </c>
      <c r="N62">
        <v>0</v>
      </c>
      <c r="O62">
        <v>0</v>
      </c>
      <c r="P62">
        <v>1</v>
      </c>
      <c r="Q62">
        <v>1</v>
      </c>
      <c r="R62">
        <v>10999</v>
      </c>
      <c r="S62">
        <v>10999</v>
      </c>
      <c r="T62">
        <v>10999</v>
      </c>
      <c r="U62" t="s">
        <v>26</v>
      </c>
      <c r="V62" s="18">
        <v>45550</v>
      </c>
      <c r="W62" s="18">
        <v>45616</v>
      </c>
      <c r="X62" s="18">
        <v>45581</v>
      </c>
      <c r="Y62" t="s">
        <v>67</v>
      </c>
      <c r="Z62" t="s">
        <v>28</v>
      </c>
      <c r="AA62">
        <v>35</v>
      </c>
      <c r="AB62" t="s">
        <v>297</v>
      </c>
      <c r="AC62" t="s">
        <v>49</v>
      </c>
    </row>
    <row r="63" spans="1:29" x14ac:dyDescent="0.3">
      <c r="A63">
        <v>63</v>
      </c>
      <c r="B63">
        <v>1670668</v>
      </c>
      <c r="C63">
        <v>1268695</v>
      </c>
      <c r="D63" t="s">
        <v>159</v>
      </c>
      <c r="E63" t="s">
        <v>237</v>
      </c>
      <c r="F63">
        <v>1</v>
      </c>
      <c r="G63" t="s">
        <v>160</v>
      </c>
      <c r="H63" t="s">
        <v>21</v>
      </c>
      <c r="I63" t="s">
        <v>53</v>
      </c>
      <c r="J63" t="s">
        <v>69</v>
      </c>
      <c r="K63" t="s">
        <v>54</v>
      </c>
      <c r="L63" t="s">
        <v>33</v>
      </c>
      <c r="M63" t="s">
        <v>134</v>
      </c>
      <c r="N63">
        <v>0</v>
      </c>
      <c r="O63">
        <v>0</v>
      </c>
      <c r="P63">
        <v>1</v>
      </c>
      <c r="Q63">
        <v>1</v>
      </c>
      <c r="R63">
        <v>21999</v>
      </c>
      <c r="S63">
        <v>21999</v>
      </c>
      <c r="T63">
        <v>21999</v>
      </c>
      <c r="U63" t="s">
        <v>26</v>
      </c>
      <c r="V63" s="18">
        <v>45550</v>
      </c>
      <c r="W63" s="18">
        <v>45616</v>
      </c>
      <c r="X63" s="18">
        <v>45584</v>
      </c>
      <c r="Y63" t="s">
        <v>67</v>
      </c>
      <c r="Z63" t="s">
        <v>28</v>
      </c>
      <c r="AA63">
        <v>32</v>
      </c>
      <c r="AB63" t="s">
        <v>297</v>
      </c>
      <c r="AC63" t="s">
        <v>49</v>
      </c>
    </row>
    <row r="64" spans="1:29" x14ac:dyDescent="0.3">
      <c r="A64">
        <v>64</v>
      </c>
      <c r="B64">
        <v>1416625</v>
      </c>
      <c r="C64">
        <v>1205197</v>
      </c>
      <c r="D64" t="s">
        <v>161</v>
      </c>
      <c r="E64" t="s">
        <v>237</v>
      </c>
      <c r="F64">
        <v>1</v>
      </c>
      <c r="G64" t="s">
        <v>103</v>
      </c>
      <c r="H64" t="s">
        <v>21</v>
      </c>
      <c r="I64" t="s">
        <v>104</v>
      </c>
      <c r="J64" t="s">
        <v>46</v>
      </c>
      <c r="K64" t="s">
        <v>78</v>
      </c>
      <c r="L64" t="s">
        <v>33</v>
      </c>
      <c r="M64" t="s">
        <v>162</v>
      </c>
      <c r="N64">
        <v>0</v>
      </c>
      <c r="O64">
        <v>0</v>
      </c>
      <c r="P64">
        <v>1</v>
      </c>
      <c r="Q64">
        <v>1</v>
      </c>
      <c r="R64">
        <v>7849</v>
      </c>
      <c r="S64">
        <v>7849</v>
      </c>
      <c r="T64">
        <v>7849</v>
      </c>
      <c r="U64" t="s">
        <v>26</v>
      </c>
      <c r="V64" s="18">
        <v>45551</v>
      </c>
      <c r="W64" s="18">
        <v>45595</v>
      </c>
      <c r="X64" s="18">
        <v>45610</v>
      </c>
      <c r="Y64" t="s">
        <v>27</v>
      </c>
      <c r="Z64" t="s">
        <v>28</v>
      </c>
      <c r="AA64">
        <v>-15</v>
      </c>
      <c r="AB64" t="s">
        <v>297</v>
      </c>
      <c r="AC64" t="s">
        <v>29</v>
      </c>
    </row>
    <row r="65" spans="1:29" x14ac:dyDescent="0.3">
      <c r="A65">
        <v>65</v>
      </c>
      <c r="B65">
        <v>25</v>
      </c>
      <c r="C65">
        <v>255</v>
      </c>
      <c r="D65" t="s">
        <v>97</v>
      </c>
      <c r="E65" t="s">
        <v>278</v>
      </c>
      <c r="F65">
        <v>0</v>
      </c>
      <c r="G65" t="s">
        <v>163</v>
      </c>
      <c r="H65" t="s">
        <v>232</v>
      </c>
      <c r="I65" t="s">
        <v>53</v>
      </c>
      <c r="J65" t="s">
        <v>22</v>
      </c>
      <c r="K65" t="s">
        <v>38</v>
      </c>
      <c r="L65" t="s">
        <v>24</v>
      </c>
      <c r="M65" t="s">
        <v>158</v>
      </c>
      <c r="N65">
        <v>0</v>
      </c>
      <c r="O65">
        <v>0</v>
      </c>
      <c r="P65">
        <v>1</v>
      </c>
      <c r="Q65">
        <v>1</v>
      </c>
      <c r="R65">
        <v>5074</v>
      </c>
      <c r="S65">
        <v>5074</v>
      </c>
      <c r="T65">
        <v>5074</v>
      </c>
      <c r="U65" t="s">
        <v>56</v>
      </c>
      <c r="V65" s="18">
        <v>45556</v>
      </c>
      <c r="W65" s="18">
        <v>45570</v>
      </c>
      <c r="X65" s="18">
        <v>45577</v>
      </c>
      <c r="Y65" t="s">
        <v>67</v>
      </c>
      <c r="Z65" t="s">
        <v>28</v>
      </c>
      <c r="AA65">
        <v>-7</v>
      </c>
      <c r="AB65" t="s">
        <v>297</v>
      </c>
      <c r="AC65" t="s">
        <v>29</v>
      </c>
    </row>
    <row r="66" spans="1:29" x14ac:dyDescent="0.3">
      <c r="A66">
        <v>66</v>
      </c>
      <c r="B66">
        <v>2514</v>
      </c>
      <c r="C66">
        <v>2514</v>
      </c>
      <c r="D66" t="s">
        <v>234</v>
      </c>
      <c r="E66" t="s">
        <v>278</v>
      </c>
      <c r="F66">
        <v>0</v>
      </c>
      <c r="G66" t="s">
        <v>63</v>
      </c>
      <c r="H66" t="s">
        <v>234</v>
      </c>
      <c r="I66" t="s">
        <v>53</v>
      </c>
      <c r="J66" t="s">
        <v>22</v>
      </c>
      <c r="K66" t="s">
        <v>38</v>
      </c>
      <c r="L66" t="s">
        <v>164</v>
      </c>
      <c r="M66" t="s">
        <v>165</v>
      </c>
      <c r="N66">
        <v>0</v>
      </c>
      <c r="O66">
        <v>0</v>
      </c>
      <c r="P66">
        <v>1</v>
      </c>
      <c r="Q66">
        <v>1</v>
      </c>
      <c r="R66">
        <v>6250</v>
      </c>
      <c r="S66">
        <v>6250</v>
      </c>
      <c r="T66">
        <v>6250</v>
      </c>
      <c r="U66" t="s">
        <v>56</v>
      </c>
      <c r="V66" s="18">
        <v>45558</v>
      </c>
      <c r="W66" s="18">
        <v>45573</v>
      </c>
      <c r="X66" s="18">
        <v>45582</v>
      </c>
      <c r="Y66" t="s">
        <v>67</v>
      </c>
      <c r="Z66" t="s">
        <v>28</v>
      </c>
      <c r="AA66">
        <v>-9</v>
      </c>
      <c r="AB66" t="s">
        <v>297</v>
      </c>
      <c r="AC66" t="s">
        <v>29</v>
      </c>
    </row>
    <row r="67" spans="1:29" x14ac:dyDescent="0.3">
      <c r="A67">
        <v>67</v>
      </c>
      <c r="B67">
        <v>1706794</v>
      </c>
      <c r="C67">
        <v>1281428</v>
      </c>
      <c r="D67" t="s">
        <v>166</v>
      </c>
      <c r="E67" t="s">
        <v>237</v>
      </c>
      <c r="F67">
        <v>1</v>
      </c>
      <c r="G67" t="s">
        <v>63</v>
      </c>
      <c r="H67" t="s">
        <v>21</v>
      </c>
      <c r="I67" t="s">
        <v>53</v>
      </c>
      <c r="J67" t="s">
        <v>22</v>
      </c>
      <c r="K67" t="s">
        <v>61</v>
      </c>
      <c r="L67" t="s">
        <v>24</v>
      </c>
      <c r="M67" t="s">
        <v>167</v>
      </c>
      <c r="N67">
        <v>0</v>
      </c>
      <c r="O67">
        <v>0</v>
      </c>
      <c r="P67">
        <v>1</v>
      </c>
      <c r="Q67">
        <v>1</v>
      </c>
      <c r="R67">
        <v>8943</v>
      </c>
      <c r="S67">
        <v>8943</v>
      </c>
      <c r="T67">
        <v>8943</v>
      </c>
      <c r="U67" t="s">
        <v>26</v>
      </c>
      <c r="V67" s="18">
        <v>45561</v>
      </c>
      <c r="W67" s="18">
        <v>45606</v>
      </c>
      <c r="X67" s="18">
        <v>45575</v>
      </c>
      <c r="Y67" t="s">
        <v>67</v>
      </c>
      <c r="Z67" t="s">
        <v>28</v>
      </c>
      <c r="AA67">
        <v>31</v>
      </c>
      <c r="AB67" t="s">
        <v>297</v>
      </c>
      <c r="AC67" t="s">
        <v>49</v>
      </c>
    </row>
    <row r="68" spans="1:29" x14ac:dyDescent="0.3">
      <c r="A68">
        <v>68</v>
      </c>
      <c r="B68">
        <v>1704621</v>
      </c>
      <c r="C68">
        <v>1280197</v>
      </c>
      <c r="D68" t="s">
        <v>168</v>
      </c>
      <c r="E68" t="s">
        <v>237</v>
      </c>
      <c r="F68">
        <v>1</v>
      </c>
      <c r="G68" t="s">
        <v>60</v>
      </c>
      <c r="H68" t="s">
        <v>21</v>
      </c>
      <c r="I68" t="s">
        <v>120</v>
      </c>
      <c r="J68" t="s">
        <v>46</v>
      </c>
      <c r="K68" t="s">
        <v>108</v>
      </c>
      <c r="L68" t="s">
        <v>33</v>
      </c>
      <c r="M68" t="s">
        <v>169</v>
      </c>
      <c r="N68">
        <v>1</v>
      </c>
      <c r="O68">
        <v>8349</v>
      </c>
      <c r="P68">
        <v>1</v>
      </c>
      <c r="Q68">
        <v>0</v>
      </c>
      <c r="R68">
        <v>0</v>
      </c>
      <c r="S68">
        <v>8349</v>
      </c>
      <c r="T68">
        <v>8349</v>
      </c>
      <c r="U68" t="s">
        <v>26</v>
      </c>
      <c r="V68" s="18">
        <v>45561</v>
      </c>
      <c r="W68" s="18">
        <v>45606</v>
      </c>
      <c r="Y68" t="s">
        <v>76</v>
      </c>
      <c r="Z68" t="s">
        <v>42</v>
      </c>
      <c r="AA68" t="s">
        <v>42</v>
      </c>
      <c r="AB68" t="s">
        <v>297</v>
      </c>
      <c r="AC68" t="s">
        <v>42</v>
      </c>
    </row>
    <row r="69" spans="1:29" x14ac:dyDescent="0.3">
      <c r="A69">
        <v>69</v>
      </c>
      <c r="B69">
        <v>240078066</v>
      </c>
      <c r="C69">
        <v>5245</v>
      </c>
      <c r="D69" t="s">
        <v>95</v>
      </c>
      <c r="E69" t="s">
        <v>278</v>
      </c>
      <c r="F69">
        <v>0</v>
      </c>
      <c r="G69" t="s">
        <v>170</v>
      </c>
      <c r="H69" t="s">
        <v>95</v>
      </c>
      <c r="I69" t="s">
        <v>53</v>
      </c>
      <c r="J69" t="s">
        <v>69</v>
      </c>
      <c r="K69" t="s">
        <v>54</v>
      </c>
      <c r="L69" t="s">
        <v>33</v>
      </c>
      <c r="M69" t="s">
        <v>171</v>
      </c>
      <c r="N69">
        <v>0</v>
      </c>
      <c r="O69">
        <v>0</v>
      </c>
      <c r="P69">
        <v>1</v>
      </c>
      <c r="Q69">
        <v>1</v>
      </c>
      <c r="R69">
        <v>14950</v>
      </c>
      <c r="S69">
        <v>14950</v>
      </c>
      <c r="T69">
        <v>14950</v>
      </c>
      <c r="U69" t="s">
        <v>56</v>
      </c>
      <c r="V69" s="18">
        <v>45561</v>
      </c>
      <c r="W69" s="18">
        <v>45579</v>
      </c>
      <c r="X69" s="18">
        <v>45578</v>
      </c>
      <c r="Y69" t="s">
        <v>67</v>
      </c>
      <c r="Z69" t="s">
        <v>28</v>
      </c>
      <c r="AA69">
        <v>1</v>
      </c>
      <c r="AB69" t="s">
        <v>297</v>
      </c>
      <c r="AC69" t="s">
        <v>49</v>
      </c>
    </row>
    <row r="70" spans="1:29" x14ac:dyDescent="0.3">
      <c r="A70">
        <v>70</v>
      </c>
      <c r="B70">
        <v>240077789</v>
      </c>
      <c r="C70">
        <v>5525</v>
      </c>
      <c r="D70" t="s">
        <v>95</v>
      </c>
      <c r="E70" t="s">
        <v>278</v>
      </c>
      <c r="F70">
        <v>0</v>
      </c>
      <c r="G70" t="s">
        <v>52</v>
      </c>
      <c r="H70" t="s">
        <v>95</v>
      </c>
      <c r="I70" t="s">
        <v>53</v>
      </c>
      <c r="J70" t="s">
        <v>22</v>
      </c>
      <c r="K70" t="s">
        <v>38</v>
      </c>
      <c r="L70" t="s">
        <v>33</v>
      </c>
      <c r="M70" t="s">
        <v>172</v>
      </c>
      <c r="N70">
        <v>1</v>
      </c>
      <c r="O70">
        <v>9208</v>
      </c>
      <c r="P70">
        <v>1</v>
      </c>
      <c r="Q70">
        <v>0</v>
      </c>
      <c r="R70">
        <v>0</v>
      </c>
      <c r="S70">
        <v>9208</v>
      </c>
      <c r="T70">
        <v>9208</v>
      </c>
      <c r="U70" t="s">
        <v>56</v>
      </c>
      <c r="V70" s="18">
        <v>45561</v>
      </c>
      <c r="W70" s="18">
        <v>45579</v>
      </c>
      <c r="Y70" t="s">
        <v>76</v>
      </c>
      <c r="Z70" t="s">
        <v>42</v>
      </c>
      <c r="AA70" t="s">
        <v>42</v>
      </c>
      <c r="AB70" t="s">
        <v>297</v>
      </c>
      <c r="AC70" t="s">
        <v>42</v>
      </c>
    </row>
    <row r="71" spans="1:29" x14ac:dyDescent="0.3">
      <c r="A71">
        <v>71</v>
      </c>
      <c r="B71">
        <v>240078390</v>
      </c>
      <c r="C71">
        <v>56222</v>
      </c>
      <c r="D71" t="s">
        <v>95</v>
      </c>
      <c r="E71" t="s">
        <v>278</v>
      </c>
      <c r="F71">
        <v>0</v>
      </c>
      <c r="G71" t="s">
        <v>52</v>
      </c>
      <c r="H71" t="s">
        <v>95</v>
      </c>
      <c r="I71" t="s">
        <v>53</v>
      </c>
      <c r="J71" t="s">
        <v>22</v>
      </c>
      <c r="K71" t="s">
        <v>61</v>
      </c>
      <c r="L71" t="s">
        <v>24</v>
      </c>
      <c r="M71" t="s">
        <v>167</v>
      </c>
      <c r="N71">
        <v>0</v>
      </c>
      <c r="O71">
        <v>0</v>
      </c>
      <c r="P71">
        <v>1</v>
      </c>
      <c r="Q71">
        <v>1</v>
      </c>
      <c r="R71">
        <v>7433</v>
      </c>
      <c r="S71">
        <v>7433</v>
      </c>
      <c r="T71">
        <v>7433</v>
      </c>
      <c r="U71" t="s">
        <v>56</v>
      </c>
      <c r="V71" s="18">
        <v>45564</v>
      </c>
      <c r="W71" s="18">
        <v>45585</v>
      </c>
      <c r="X71" s="18">
        <v>45586</v>
      </c>
      <c r="Y71" t="s">
        <v>67</v>
      </c>
      <c r="Z71" t="s">
        <v>28</v>
      </c>
      <c r="AA71">
        <v>-1</v>
      </c>
      <c r="AB71" t="s">
        <v>297</v>
      </c>
      <c r="AC71" t="s">
        <v>29</v>
      </c>
    </row>
    <row r="72" spans="1:29" x14ac:dyDescent="0.3">
      <c r="A72">
        <v>72</v>
      </c>
      <c r="B72">
        <v>26</v>
      </c>
      <c r="C72">
        <v>266</v>
      </c>
      <c r="D72" t="s">
        <v>97</v>
      </c>
      <c r="E72" t="s">
        <v>278</v>
      </c>
      <c r="F72">
        <v>0</v>
      </c>
      <c r="G72" t="s">
        <v>163</v>
      </c>
      <c r="H72" t="s">
        <v>232</v>
      </c>
      <c r="I72" t="s">
        <v>53</v>
      </c>
      <c r="J72" t="s">
        <v>22</v>
      </c>
      <c r="K72" t="s">
        <v>61</v>
      </c>
      <c r="L72" t="s">
        <v>24</v>
      </c>
      <c r="M72" t="s">
        <v>167</v>
      </c>
      <c r="N72">
        <v>0</v>
      </c>
      <c r="O72">
        <v>0</v>
      </c>
      <c r="P72">
        <v>1</v>
      </c>
      <c r="Q72">
        <v>1</v>
      </c>
      <c r="R72">
        <v>4020</v>
      </c>
      <c r="S72">
        <v>4020</v>
      </c>
      <c r="T72">
        <v>4020</v>
      </c>
      <c r="U72" t="s">
        <v>56</v>
      </c>
      <c r="V72" s="18">
        <v>45564</v>
      </c>
      <c r="W72" s="18">
        <v>45577</v>
      </c>
      <c r="X72" s="18">
        <v>45577</v>
      </c>
      <c r="Y72" t="s">
        <v>67</v>
      </c>
      <c r="Z72" t="s">
        <v>28</v>
      </c>
      <c r="AA72">
        <v>0</v>
      </c>
      <c r="AB72" t="s">
        <v>297</v>
      </c>
      <c r="AC72" t="s">
        <v>173</v>
      </c>
    </row>
    <row r="73" spans="1:29" x14ac:dyDescent="0.3">
      <c r="A73">
        <v>73</v>
      </c>
      <c r="B73">
        <v>27</v>
      </c>
      <c r="C73">
        <v>277</v>
      </c>
      <c r="D73" t="s">
        <v>174</v>
      </c>
      <c r="E73" t="s">
        <v>237</v>
      </c>
      <c r="F73">
        <v>1</v>
      </c>
      <c r="G73" t="s">
        <v>175</v>
      </c>
      <c r="H73" t="s">
        <v>104</v>
      </c>
      <c r="I73" t="s">
        <v>104</v>
      </c>
      <c r="J73" t="s">
        <v>22</v>
      </c>
      <c r="K73" t="s">
        <v>38</v>
      </c>
      <c r="L73" t="s">
        <v>164</v>
      </c>
      <c r="M73" t="s">
        <v>172</v>
      </c>
      <c r="N73">
        <v>0</v>
      </c>
      <c r="O73">
        <v>0</v>
      </c>
      <c r="P73">
        <v>1</v>
      </c>
      <c r="Q73">
        <v>1</v>
      </c>
      <c r="R73">
        <v>8544.9054400000005</v>
      </c>
      <c r="S73">
        <v>8544.9054400000005</v>
      </c>
      <c r="T73">
        <v>8544.9054400000005</v>
      </c>
      <c r="U73" t="s">
        <v>26</v>
      </c>
      <c r="V73" s="18">
        <v>45566</v>
      </c>
      <c r="W73" s="18">
        <v>45574</v>
      </c>
      <c r="X73" s="18">
        <v>45574</v>
      </c>
      <c r="Y73" t="s">
        <v>176</v>
      </c>
      <c r="Z73" t="s">
        <v>28</v>
      </c>
      <c r="AA73">
        <v>0</v>
      </c>
      <c r="AB73" t="s">
        <v>298</v>
      </c>
      <c r="AC73" t="s">
        <v>173</v>
      </c>
    </row>
    <row r="74" spans="1:29" x14ac:dyDescent="0.3">
      <c r="A74">
        <v>74</v>
      </c>
      <c r="B74">
        <v>28</v>
      </c>
      <c r="C74">
        <v>288</v>
      </c>
      <c r="D74" t="s">
        <v>174</v>
      </c>
      <c r="E74" t="s">
        <v>237</v>
      </c>
      <c r="F74">
        <v>0</v>
      </c>
      <c r="G74" t="s">
        <v>175</v>
      </c>
      <c r="H74" t="s">
        <v>104</v>
      </c>
      <c r="I74" t="s">
        <v>104</v>
      </c>
      <c r="J74" t="s">
        <v>22</v>
      </c>
      <c r="K74" t="s">
        <v>23</v>
      </c>
      <c r="L74" t="s">
        <v>33</v>
      </c>
      <c r="M74" t="s">
        <v>177</v>
      </c>
      <c r="N74">
        <v>0</v>
      </c>
      <c r="O74">
        <v>0</v>
      </c>
      <c r="P74">
        <v>1</v>
      </c>
      <c r="Q74">
        <v>1</v>
      </c>
      <c r="R74">
        <v>4600</v>
      </c>
      <c r="S74">
        <v>4600</v>
      </c>
      <c r="T74">
        <v>4600</v>
      </c>
      <c r="U74" t="s">
        <v>26</v>
      </c>
      <c r="V74" s="18">
        <v>45566</v>
      </c>
      <c r="W74" s="18">
        <v>45574</v>
      </c>
      <c r="X74" s="18">
        <v>45574</v>
      </c>
      <c r="Y74" t="s">
        <v>176</v>
      </c>
      <c r="Z74" t="s">
        <v>28</v>
      </c>
      <c r="AA74">
        <v>0</v>
      </c>
      <c r="AB74" t="s">
        <v>298</v>
      </c>
      <c r="AC74" t="s">
        <v>173</v>
      </c>
    </row>
    <row r="75" spans="1:29" x14ac:dyDescent="0.3">
      <c r="A75">
        <v>75</v>
      </c>
      <c r="B75">
        <v>29</v>
      </c>
      <c r="C75">
        <v>299</v>
      </c>
      <c r="D75" t="s">
        <v>174</v>
      </c>
      <c r="E75" t="s">
        <v>237</v>
      </c>
      <c r="F75">
        <v>0</v>
      </c>
      <c r="G75" t="s">
        <v>175</v>
      </c>
      <c r="H75" t="s">
        <v>104</v>
      </c>
      <c r="I75" t="s">
        <v>104</v>
      </c>
      <c r="J75" t="s">
        <v>69</v>
      </c>
      <c r="K75" t="s">
        <v>88</v>
      </c>
      <c r="L75" t="s">
        <v>33</v>
      </c>
      <c r="M75" t="s">
        <v>178</v>
      </c>
      <c r="N75">
        <v>0</v>
      </c>
      <c r="O75">
        <v>0</v>
      </c>
      <c r="P75">
        <v>1</v>
      </c>
      <c r="Q75">
        <v>1</v>
      </c>
      <c r="R75">
        <v>10000</v>
      </c>
      <c r="S75">
        <v>10000</v>
      </c>
      <c r="T75">
        <v>10000</v>
      </c>
      <c r="U75" t="s">
        <v>26</v>
      </c>
      <c r="V75" s="18">
        <v>45566</v>
      </c>
      <c r="W75" s="18">
        <v>45574</v>
      </c>
      <c r="X75" s="18">
        <v>45574</v>
      </c>
      <c r="Y75" t="s">
        <v>176</v>
      </c>
      <c r="Z75" t="s">
        <v>28</v>
      </c>
      <c r="AA75">
        <v>0</v>
      </c>
      <c r="AB75" t="s">
        <v>298</v>
      </c>
      <c r="AC75" t="s">
        <v>173</v>
      </c>
    </row>
    <row r="76" spans="1:29" x14ac:dyDescent="0.3">
      <c r="A76">
        <v>76</v>
      </c>
      <c r="B76">
        <v>1282228</v>
      </c>
      <c r="C76">
        <v>1708226</v>
      </c>
      <c r="D76" t="s">
        <v>179</v>
      </c>
      <c r="E76" t="s">
        <v>237</v>
      </c>
      <c r="F76">
        <v>1</v>
      </c>
      <c r="G76" t="s">
        <v>180</v>
      </c>
      <c r="H76" t="s">
        <v>21</v>
      </c>
      <c r="I76" t="s">
        <v>53</v>
      </c>
      <c r="J76" t="s">
        <v>22</v>
      </c>
      <c r="K76" t="s">
        <v>23</v>
      </c>
      <c r="L76" t="s">
        <v>33</v>
      </c>
      <c r="M76" t="s">
        <v>177</v>
      </c>
      <c r="N76">
        <v>0</v>
      </c>
      <c r="O76">
        <v>0</v>
      </c>
      <c r="P76">
        <v>1</v>
      </c>
      <c r="Q76">
        <v>1</v>
      </c>
      <c r="R76">
        <v>8899</v>
      </c>
      <c r="S76">
        <v>8899</v>
      </c>
      <c r="T76">
        <v>8899</v>
      </c>
      <c r="U76" t="s">
        <v>26</v>
      </c>
      <c r="V76" s="18">
        <v>45568</v>
      </c>
      <c r="W76" s="18">
        <v>45613</v>
      </c>
      <c r="X76" s="18">
        <v>45577</v>
      </c>
      <c r="Y76" t="s">
        <v>67</v>
      </c>
      <c r="Z76" t="s">
        <v>28</v>
      </c>
      <c r="AA76">
        <v>36</v>
      </c>
      <c r="AB76" t="s">
        <v>298</v>
      </c>
      <c r="AC76" t="s">
        <v>49</v>
      </c>
    </row>
    <row r="77" spans="1:29" x14ac:dyDescent="0.3">
      <c r="A77">
        <v>77</v>
      </c>
      <c r="B77">
        <v>240079328</v>
      </c>
      <c r="C77">
        <v>313</v>
      </c>
      <c r="D77" t="s">
        <v>95</v>
      </c>
      <c r="E77" t="s">
        <v>278</v>
      </c>
      <c r="F77">
        <v>0</v>
      </c>
      <c r="G77" t="s">
        <v>52</v>
      </c>
      <c r="H77" t="s">
        <v>95</v>
      </c>
      <c r="I77" t="s">
        <v>53</v>
      </c>
      <c r="J77" t="s">
        <v>69</v>
      </c>
      <c r="K77" t="s">
        <v>54</v>
      </c>
      <c r="L77" t="s">
        <v>33</v>
      </c>
      <c r="M77" t="s">
        <v>171</v>
      </c>
      <c r="N77">
        <v>0</v>
      </c>
      <c r="O77">
        <v>0</v>
      </c>
      <c r="P77">
        <v>1</v>
      </c>
      <c r="Q77">
        <v>1</v>
      </c>
      <c r="R77">
        <v>14550</v>
      </c>
      <c r="S77">
        <v>14550</v>
      </c>
      <c r="T77">
        <v>14550</v>
      </c>
      <c r="U77" t="s">
        <v>56</v>
      </c>
      <c r="V77" s="18">
        <v>45573</v>
      </c>
      <c r="W77" s="18">
        <v>45594</v>
      </c>
      <c r="X77" s="18">
        <v>45595</v>
      </c>
      <c r="Y77" t="s">
        <v>67</v>
      </c>
      <c r="Z77" t="s">
        <v>28</v>
      </c>
      <c r="AA77">
        <v>-1</v>
      </c>
      <c r="AB77" t="s">
        <v>298</v>
      </c>
      <c r="AC77" t="s">
        <v>29</v>
      </c>
    </row>
    <row r="78" spans="1:29" x14ac:dyDescent="0.3">
      <c r="A78">
        <v>78</v>
      </c>
      <c r="B78">
        <v>240078933</v>
      </c>
      <c r="C78">
        <v>312</v>
      </c>
      <c r="D78" t="s">
        <v>95</v>
      </c>
      <c r="E78" t="s">
        <v>278</v>
      </c>
      <c r="F78">
        <v>0</v>
      </c>
      <c r="G78" t="s">
        <v>60</v>
      </c>
      <c r="H78" t="s">
        <v>95</v>
      </c>
      <c r="I78" t="s">
        <v>120</v>
      </c>
      <c r="J78" t="s">
        <v>69</v>
      </c>
      <c r="K78" t="s">
        <v>54</v>
      </c>
      <c r="L78" t="s">
        <v>33</v>
      </c>
      <c r="M78" t="s">
        <v>171</v>
      </c>
      <c r="N78">
        <v>0</v>
      </c>
      <c r="O78">
        <v>0</v>
      </c>
      <c r="P78">
        <v>1</v>
      </c>
      <c r="Q78">
        <v>1</v>
      </c>
      <c r="R78">
        <v>14550</v>
      </c>
      <c r="S78">
        <v>14550</v>
      </c>
      <c r="T78">
        <v>14550</v>
      </c>
      <c r="U78" t="s">
        <v>56</v>
      </c>
      <c r="V78" s="18">
        <v>45572</v>
      </c>
      <c r="W78" s="18">
        <v>45594</v>
      </c>
      <c r="X78" s="18">
        <v>45580</v>
      </c>
      <c r="Y78" t="s">
        <v>67</v>
      </c>
      <c r="Z78" t="s">
        <v>28</v>
      </c>
      <c r="AA78">
        <v>14</v>
      </c>
      <c r="AB78" t="s">
        <v>298</v>
      </c>
      <c r="AC78" t="s">
        <v>49</v>
      </c>
    </row>
    <row r="79" spans="1:29" x14ac:dyDescent="0.3">
      <c r="A79">
        <v>79</v>
      </c>
      <c r="B79">
        <v>240079517</v>
      </c>
      <c r="C79">
        <v>3134</v>
      </c>
      <c r="D79" t="s">
        <v>95</v>
      </c>
      <c r="E79" t="s">
        <v>278</v>
      </c>
      <c r="F79">
        <v>0</v>
      </c>
      <c r="G79" t="s">
        <v>52</v>
      </c>
      <c r="H79" t="s">
        <v>95</v>
      </c>
      <c r="I79" t="s">
        <v>53</v>
      </c>
      <c r="J79" t="s">
        <v>69</v>
      </c>
      <c r="K79" t="s">
        <v>54</v>
      </c>
      <c r="L79" t="s">
        <v>33</v>
      </c>
      <c r="M79" t="s">
        <v>171</v>
      </c>
      <c r="N79">
        <v>0</v>
      </c>
      <c r="O79">
        <v>0</v>
      </c>
      <c r="P79">
        <v>1</v>
      </c>
      <c r="Q79">
        <v>1</v>
      </c>
      <c r="R79">
        <v>14550</v>
      </c>
      <c r="S79">
        <v>14550</v>
      </c>
      <c r="T79">
        <v>14550</v>
      </c>
      <c r="U79" t="s">
        <v>56</v>
      </c>
      <c r="V79" s="18">
        <v>45575</v>
      </c>
      <c r="W79" s="18">
        <v>45596</v>
      </c>
      <c r="X79" s="18">
        <v>45598</v>
      </c>
      <c r="Y79" t="s">
        <v>67</v>
      </c>
      <c r="Z79" t="s">
        <v>28</v>
      </c>
      <c r="AA79">
        <v>-2</v>
      </c>
      <c r="AB79" t="s">
        <v>298</v>
      </c>
      <c r="AC79" t="s">
        <v>29</v>
      </c>
    </row>
    <row r="80" spans="1:29" x14ac:dyDescent="0.3">
      <c r="A80">
        <v>80</v>
      </c>
      <c r="B80">
        <v>1714623</v>
      </c>
      <c r="C80">
        <v>1284697</v>
      </c>
      <c r="D80" t="s">
        <v>181</v>
      </c>
      <c r="E80" t="s">
        <v>237</v>
      </c>
      <c r="F80">
        <v>1</v>
      </c>
      <c r="G80" t="s">
        <v>133</v>
      </c>
      <c r="H80" t="s">
        <v>21</v>
      </c>
      <c r="I80" t="s">
        <v>53</v>
      </c>
      <c r="J80" t="s">
        <v>22</v>
      </c>
      <c r="K80" t="s">
        <v>38</v>
      </c>
      <c r="L80" t="s">
        <v>182</v>
      </c>
      <c r="M80" t="s">
        <v>172</v>
      </c>
      <c r="N80">
        <v>0</v>
      </c>
      <c r="O80">
        <v>0</v>
      </c>
      <c r="P80">
        <v>1</v>
      </c>
      <c r="Q80">
        <v>1</v>
      </c>
      <c r="R80">
        <v>12899</v>
      </c>
      <c r="S80">
        <v>12899</v>
      </c>
      <c r="T80">
        <v>12899</v>
      </c>
      <c r="U80" t="s">
        <v>26</v>
      </c>
      <c r="V80" s="18">
        <v>45578</v>
      </c>
      <c r="W80" s="18">
        <v>45643</v>
      </c>
      <c r="X80" s="18">
        <v>45598</v>
      </c>
      <c r="Y80" t="s">
        <v>67</v>
      </c>
      <c r="Z80" t="s">
        <v>28</v>
      </c>
      <c r="AA80">
        <v>45</v>
      </c>
      <c r="AB80" t="s">
        <v>298</v>
      </c>
      <c r="AC80" t="s">
        <v>49</v>
      </c>
    </row>
    <row r="81" spans="1:29" x14ac:dyDescent="0.3">
      <c r="A81">
        <v>81</v>
      </c>
      <c r="B81">
        <v>1715473</v>
      </c>
      <c r="C81">
        <v>1285152</v>
      </c>
      <c r="D81" t="s">
        <v>183</v>
      </c>
      <c r="E81" t="s">
        <v>237</v>
      </c>
      <c r="F81">
        <v>1</v>
      </c>
      <c r="G81" t="s">
        <v>72</v>
      </c>
      <c r="H81" t="s">
        <v>21</v>
      </c>
      <c r="I81" t="s">
        <v>53</v>
      </c>
      <c r="J81" t="s">
        <v>22</v>
      </c>
      <c r="K81" t="s">
        <v>38</v>
      </c>
      <c r="L81" t="s">
        <v>24</v>
      </c>
      <c r="M81" t="s">
        <v>172</v>
      </c>
      <c r="N81">
        <v>0</v>
      </c>
      <c r="O81">
        <v>0</v>
      </c>
      <c r="P81">
        <v>1</v>
      </c>
      <c r="Q81">
        <v>1</v>
      </c>
      <c r="R81">
        <v>10499</v>
      </c>
      <c r="S81">
        <v>10499</v>
      </c>
      <c r="T81">
        <v>10499</v>
      </c>
      <c r="U81" t="s">
        <v>26</v>
      </c>
      <c r="V81" s="18">
        <v>45581</v>
      </c>
      <c r="W81" s="18">
        <v>45645</v>
      </c>
      <c r="X81" s="18">
        <v>45586</v>
      </c>
      <c r="Y81" t="s">
        <v>67</v>
      </c>
      <c r="Z81" t="s">
        <v>28</v>
      </c>
      <c r="AA81">
        <v>59</v>
      </c>
      <c r="AB81" t="s">
        <v>298</v>
      </c>
      <c r="AC81" t="s">
        <v>49</v>
      </c>
    </row>
    <row r="82" spans="1:29" x14ac:dyDescent="0.3">
      <c r="A82">
        <v>82</v>
      </c>
      <c r="B82">
        <v>1715992</v>
      </c>
      <c r="C82">
        <v>1285423</v>
      </c>
      <c r="D82" t="s">
        <v>184</v>
      </c>
      <c r="E82" t="s">
        <v>237</v>
      </c>
      <c r="F82">
        <v>1</v>
      </c>
      <c r="G82" t="s">
        <v>185</v>
      </c>
      <c r="H82" t="s">
        <v>21</v>
      </c>
      <c r="I82" t="s">
        <v>32</v>
      </c>
      <c r="J82" t="s">
        <v>22</v>
      </c>
      <c r="K82" t="s">
        <v>38</v>
      </c>
      <c r="L82" t="s">
        <v>182</v>
      </c>
      <c r="M82" t="s">
        <v>172</v>
      </c>
      <c r="N82">
        <v>0</v>
      </c>
      <c r="O82">
        <v>0</v>
      </c>
      <c r="P82">
        <v>1</v>
      </c>
      <c r="Q82">
        <v>1</v>
      </c>
      <c r="R82">
        <v>12899</v>
      </c>
      <c r="S82">
        <v>12899</v>
      </c>
      <c r="T82">
        <v>12899</v>
      </c>
      <c r="U82" t="s">
        <v>26</v>
      </c>
      <c r="V82" s="18">
        <v>45582</v>
      </c>
      <c r="W82" s="18">
        <v>45648</v>
      </c>
      <c r="X82" s="18">
        <v>45629</v>
      </c>
      <c r="Y82" t="s">
        <v>27</v>
      </c>
      <c r="Z82" t="s">
        <v>28</v>
      </c>
      <c r="AA82">
        <v>19</v>
      </c>
      <c r="AB82" t="s">
        <v>298</v>
      </c>
      <c r="AC82" t="s">
        <v>49</v>
      </c>
    </row>
    <row r="83" spans="1:29" x14ac:dyDescent="0.3">
      <c r="A83">
        <v>83</v>
      </c>
      <c r="B83">
        <v>3163</v>
      </c>
      <c r="C83">
        <v>5698</v>
      </c>
      <c r="D83" t="s">
        <v>186</v>
      </c>
      <c r="E83" t="s">
        <v>237</v>
      </c>
      <c r="F83">
        <v>1</v>
      </c>
      <c r="G83" t="s">
        <v>187</v>
      </c>
      <c r="H83" t="s">
        <v>235</v>
      </c>
      <c r="I83" t="s">
        <v>53</v>
      </c>
      <c r="J83" t="s">
        <v>22</v>
      </c>
      <c r="K83" t="s">
        <v>61</v>
      </c>
      <c r="L83" t="s">
        <v>273</v>
      </c>
      <c r="M83" t="s">
        <v>167</v>
      </c>
      <c r="N83">
        <v>0</v>
      </c>
      <c r="O83">
        <v>0</v>
      </c>
      <c r="P83">
        <v>1</v>
      </c>
      <c r="Q83">
        <v>1</v>
      </c>
      <c r="R83">
        <v>5135</v>
      </c>
      <c r="S83">
        <v>5135</v>
      </c>
      <c r="T83">
        <v>5135</v>
      </c>
      <c r="U83" t="s">
        <v>26</v>
      </c>
      <c r="V83" s="18">
        <v>45585</v>
      </c>
      <c r="W83" s="18">
        <v>45613</v>
      </c>
      <c r="X83" s="18">
        <v>45610</v>
      </c>
      <c r="Y83" t="s">
        <v>67</v>
      </c>
      <c r="Z83" t="s">
        <v>28</v>
      </c>
      <c r="AA83">
        <v>3</v>
      </c>
      <c r="AB83" t="s">
        <v>298</v>
      </c>
      <c r="AC83" t="s">
        <v>49</v>
      </c>
    </row>
    <row r="84" spans="1:29" x14ac:dyDescent="0.3">
      <c r="A84">
        <v>84</v>
      </c>
      <c r="B84">
        <v>240080607</v>
      </c>
      <c r="C84">
        <v>8755</v>
      </c>
      <c r="D84" t="s">
        <v>95</v>
      </c>
      <c r="E84" t="s">
        <v>278</v>
      </c>
      <c r="F84">
        <v>0</v>
      </c>
      <c r="G84" t="s">
        <v>60</v>
      </c>
      <c r="H84" t="s">
        <v>95</v>
      </c>
      <c r="I84" t="s">
        <v>120</v>
      </c>
      <c r="J84" t="s">
        <v>22</v>
      </c>
      <c r="K84" t="s">
        <v>38</v>
      </c>
      <c r="L84" t="s">
        <v>164</v>
      </c>
      <c r="M84" t="s">
        <v>172</v>
      </c>
      <c r="N84">
        <v>0</v>
      </c>
      <c r="O84">
        <v>0</v>
      </c>
      <c r="P84">
        <v>1</v>
      </c>
      <c r="Q84">
        <v>1</v>
      </c>
      <c r="R84">
        <v>12777.5</v>
      </c>
      <c r="S84">
        <v>12777.5</v>
      </c>
      <c r="T84">
        <v>12777.5</v>
      </c>
      <c r="U84" t="s">
        <v>56</v>
      </c>
      <c r="V84" s="18">
        <v>45587</v>
      </c>
      <c r="W84" s="18">
        <v>45608</v>
      </c>
      <c r="X84" s="18">
        <v>45614</v>
      </c>
      <c r="Y84" t="s">
        <v>67</v>
      </c>
      <c r="Z84" t="s">
        <v>28</v>
      </c>
      <c r="AA84">
        <v>-6</v>
      </c>
      <c r="AB84" t="s">
        <v>298</v>
      </c>
      <c r="AC84" t="s">
        <v>29</v>
      </c>
    </row>
    <row r="85" spans="1:29" x14ac:dyDescent="0.3">
      <c r="A85">
        <v>85</v>
      </c>
      <c r="B85">
        <v>5648</v>
      </c>
      <c r="C85">
        <v>2598</v>
      </c>
      <c r="D85" t="s">
        <v>97</v>
      </c>
      <c r="E85" t="s">
        <v>278</v>
      </c>
      <c r="F85">
        <v>0</v>
      </c>
      <c r="G85" t="s">
        <v>188</v>
      </c>
      <c r="H85" t="s">
        <v>232</v>
      </c>
      <c r="I85" t="s">
        <v>53</v>
      </c>
      <c r="J85" t="s">
        <v>22</v>
      </c>
      <c r="K85" t="s">
        <v>38</v>
      </c>
      <c r="L85" t="s">
        <v>164</v>
      </c>
      <c r="M85" t="s">
        <v>172</v>
      </c>
      <c r="N85">
        <v>1</v>
      </c>
      <c r="O85">
        <v>8544.91</v>
      </c>
      <c r="P85">
        <v>1</v>
      </c>
      <c r="Q85">
        <v>0</v>
      </c>
      <c r="R85">
        <v>0</v>
      </c>
      <c r="S85">
        <v>8544.91</v>
      </c>
      <c r="T85">
        <v>8544.91</v>
      </c>
      <c r="U85" t="s">
        <v>56</v>
      </c>
      <c r="V85" s="18">
        <v>45587</v>
      </c>
      <c r="Y85" t="s">
        <v>189</v>
      </c>
      <c r="Z85" t="s">
        <v>42</v>
      </c>
      <c r="AA85" t="s">
        <v>42</v>
      </c>
      <c r="AB85" t="s">
        <v>298</v>
      </c>
      <c r="AC85" t="s">
        <v>42</v>
      </c>
    </row>
    <row r="86" spans="1:29" x14ac:dyDescent="0.3">
      <c r="A86">
        <v>86</v>
      </c>
      <c r="B86">
        <v>1717458</v>
      </c>
      <c r="C86">
        <v>1286189</v>
      </c>
      <c r="D86" t="s">
        <v>190</v>
      </c>
      <c r="E86" t="s">
        <v>237</v>
      </c>
      <c r="F86">
        <v>1</v>
      </c>
      <c r="G86" t="s">
        <v>60</v>
      </c>
      <c r="H86" t="s">
        <v>21</v>
      </c>
      <c r="I86" t="s">
        <v>120</v>
      </c>
      <c r="J86" t="s">
        <v>22</v>
      </c>
      <c r="K86" t="s">
        <v>61</v>
      </c>
      <c r="L86" t="s">
        <v>24</v>
      </c>
      <c r="M86" t="s">
        <v>167</v>
      </c>
      <c r="N86">
        <v>0</v>
      </c>
      <c r="O86">
        <v>0</v>
      </c>
      <c r="P86">
        <v>1</v>
      </c>
      <c r="Q86">
        <v>1</v>
      </c>
      <c r="R86">
        <v>8943</v>
      </c>
      <c r="S86">
        <v>8943</v>
      </c>
      <c r="T86">
        <v>8943</v>
      </c>
      <c r="U86" t="s">
        <v>26</v>
      </c>
      <c r="V86" s="18">
        <v>45586</v>
      </c>
      <c r="W86" s="18">
        <v>45610</v>
      </c>
      <c r="X86" s="18">
        <v>45614</v>
      </c>
      <c r="Y86" t="s">
        <v>67</v>
      </c>
      <c r="Z86" t="s">
        <v>28</v>
      </c>
      <c r="AA86">
        <v>-4</v>
      </c>
      <c r="AB86" t="s">
        <v>298</v>
      </c>
      <c r="AC86" t="s">
        <v>29</v>
      </c>
    </row>
    <row r="87" spans="1:29" x14ac:dyDescent="0.3">
      <c r="A87">
        <v>87</v>
      </c>
      <c r="B87">
        <v>240080858</v>
      </c>
      <c r="C87">
        <v>5622</v>
      </c>
      <c r="D87" t="s">
        <v>95</v>
      </c>
      <c r="E87" t="s">
        <v>278</v>
      </c>
      <c r="F87">
        <v>0</v>
      </c>
      <c r="G87" t="s">
        <v>52</v>
      </c>
      <c r="H87" t="s">
        <v>95</v>
      </c>
      <c r="I87" t="s">
        <v>53</v>
      </c>
      <c r="J87" t="s">
        <v>69</v>
      </c>
      <c r="K87" t="s">
        <v>54</v>
      </c>
      <c r="L87" t="s">
        <v>33</v>
      </c>
      <c r="M87" t="s">
        <v>171</v>
      </c>
      <c r="N87">
        <v>0</v>
      </c>
      <c r="O87">
        <v>0</v>
      </c>
      <c r="P87">
        <v>1</v>
      </c>
      <c r="Q87">
        <v>1</v>
      </c>
      <c r="R87">
        <v>15516</v>
      </c>
      <c r="S87">
        <v>15516</v>
      </c>
      <c r="T87">
        <v>15516</v>
      </c>
      <c r="U87" t="s">
        <v>56</v>
      </c>
      <c r="V87" s="18">
        <v>45589</v>
      </c>
      <c r="W87" s="18">
        <v>45610</v>
      </c>
      <c r="X87" s="18">
        <v>45595</v>
      </c>
      <c r="Y87" t="s">
        <v>67</v>
      </c>
      <c r="Z87" t="s">
        <v>28</v>
      </c>
      <c r="AA87">
        <v>15</v>
      </c>
      <c r="AB87" t="s">
        <v>298</v>
      </c>
      <c r="AC87" t="s">
        <v>49</v>
      </c>
    </row>
    <row r="88" spans="1:29" x14ac:dyDescent="0.3">
      <c r="A88">
        <v>88</v>
      </c>
      <c r="B88">
        <v>240081061</v>
      </c>
      <c r="C88">
        <v>2488</v>
      </c>
      <c r="D88" t="s">
        <v>95</v>
      </c>
      <c r="E88" t="s">
        <v>278</v>
      </c>
      <c r="F88">
        <v>0</v>
      </c>
      <c r="G88" t="s">
        <v>52</v>
      </c>
      <c r="H88" t="s">
        <v>95</v>
      </c>
      <c r="I88" t="s">
        <v>53</v>
      </c>
      <c r="J88" t="s">
        <v>22</v>
      </c>
      <c r="K88" t="s">
        <v>38</v>
      </c>
      <c r="L88" t="s">
        <v>33</v>
      </c>
      <c r="M88" t="s">
        <v>172</v>
      </c>
      <c r="N88">
        <v>1</v>
      </c>
      <c r="O88">
        <v>10045</v>
      </c>
      <c r="P88">
        <v>1</v>
      </c>
      <c r="Q88">
        <v>0</v>
      </c>
      <c r="R88">
        <v>0</v>
      </c>
      <c r="S88">
        <v>10045</v>
      </c>
      <c r="T88">
        <v>10045</v>
      </c>
      <c r="U88" t="s">
        <v>56</v>
      </c>
      <c r="V88" s="18">
        <v>45591</v>
      </c>
      <c r="W88" s="18">
        <v>45612</v>
      </c>
      <c r="Y88" t="s">
        <v>76</v>
      </c>
      <c r="Z88" t="s">
        <v>42</v>
      </c>
      <c r="AA88" t="s">
        <v>42</v>
      </c>
      <c r="AB88" t="s">
        <v>298</v>
      </c>
      <c r="AC88" t="s">
        <v>42</v>
      </c>
    </row>
    <row r="89" spans="1:29" x14ac:dyDescent="0.3">
      <c r="A89">
        <v>89</v>
      </c>
      <c r="B89">
        <v>1718948</v>
      </c>
      <c r="C89">
        <v>1286883</v>
      </c>
      <c r="D89" t="s">
        <v>145</v>
      </c>
      <c r="E89" t="s">
        <v>237</v>
      </c>
      <c r="F89">
        <v>0</v>
      </c>
      <c r="G89" t="s">
        <v>191</v>
      </c>
      <c r="H89" t="s">
        <v>21</v>
      </c>
      <c r="I89" t="s">
        <v>120</v>
      </c>
      <c r="J89" t="s">
        <v>22</v>
      </c>
      <c r="K89" t="s">
        <v>38</v>
      </c>
      <c r="L89" t="s">
        <v>33</v>
      </c>
      <c r="M89" t="s">
        <v>172</v>
      </c>
      <c r="N89">
        <v>0</v>
      </c>
      <c r="O89">
        <v>0</v>
      </c>
      <c r="P89">
        <v>1</v>
      </c>
      <c r="Q89">
        <v>1</v>
      </c>
      <c r="R89">
        <v>11649</v>
      </c>
      <c r="S89">
        <v>11649</v>
      </c>
      <c r="T89">
        <v>11649</v>
      </c>
      <c r="U89" t="s">
        <v>26</v>
      </c>
      <c r="V89" s="18">
        <v>45591</v>
      </c>
      <c r="W89" s="18">
        <v>45606</v>
      </c>
      <c r="X89" s="18">
        <v>45614</v>
      </c>
      <c r="Y89" t="s">
        <v>67</v>
      </c>
      <c r="Z89" t="s">
        <v>28</v>
      </c>
      <c r="AA89">
        <v>-8</v>
      </c>
      <c r="AB89" t="s">
        <v>298</v>
      </c>
      <c r="AC89" t="s">
        <v>29</v>
      </c>
    </row>
    <row r="90" spans="1:29" x14ac:dyDescent="0.3">
      <c r="A90">
        <v>90</v>
      </c>
      <c r="B90">
        <v>1718949</v>
      </c>
      <c r="C90">
        <v>1286883</v>
      </c>
      <c r="D90" t="s">
        <v>145</v>
      </c>
      <c r="E90" t="s">
        <v>237</v>
      </c>
      <c r="F90">
        <v>0</v>
      </c>
      <c r="G90" t="s">
        <v>191</v>
      </c>
      <c r="H90" t="s">
        <v>21</v>
      </c>
      <c r="I90" t="s">
        <v>120</v>
      </c>
      <c r="J90" t="s">
        <v>22</v>
      </c>
      <c r="K90" t="s">
        <v>38</v>
      </c>
      <c r="L90" t="s">
        <v>33</v>
      </c>
      <c r="M90" t="s">
        <v>172</v>
      </c>
      <c r="N90">
        <v>0</v>
      </c>
      <c r="O90">
        <v>0</v>
      </c>
      <c r="P90">
        <v>1</v>
      </c>
      <c r="Q90">
        <v>1</v>
      </c>
      <c r="R90">
        <v>11649</v>
      </c>
      <c r="S90">
        <v>11649</v>
      </c>
      <c r="T90">
        <v>11649</v>
      </c>
      <c r="U90" t="s">
        <v>26</v>
      </c>
      <c r="V90" s="18">
        <v>45591</v>
      </c>
      <c r="W90" s="18">
        <v>45606</v>
      </c>
      <c r="X90" s="18">
        <v>45614</v>
      </c>
      <c r="Y90" t="s">
        <v>67</v>
      </c>
      <c r="Z90" t="s">
        <v>28</v>
      </c>
      <c r="AA90">
        <v>-8</v>
      </c>
      <c r="AB90" t="s">
        <v>298</v>
      </c>
      <c r="AC90" t="s">
        <v>29</v>
      </c>
    </row>
    <row r="91" spans="1:29" x14ac:dyDescent="0.3">
      <c r="A91">
        <v>91</v>
      </c>
      <c r="B91">
        <v>9699</v>
      </c>
      <c r="C91">
        <v>7822</v>
      </c>
      <c r="D91" t="s">
        <v>267</v>
      </c>
      <c r="E91" t="s">
        <v>237</v>
      </c>
      <c r="F91">
        <v>1</v>
      </c>
      <c r="G91" t="s">
        <v>91</v>
      </c>
      <c r="H91" t="s">
        <v>21</v>
      </c>
      <c r="I91" t="s">
        <v>53</v>
      </c>
      <c r="J91" t="s">
        <v>22</v>
      </c>
      <c r="K91" t="s">
        <v>61</v>
      </c>
      <c r="L91" t="s">
        <v>24</v>
      </c>
      <c r="M91" t="s">
        <v>167</v>
      </c>
      <c r="N91">
        <v>0</v>
      </c>
      <c r="O91">
        <v>0</v>
      </c>
      <c r="P91">
        <v>1</v>
      </c>
      <c r="Q91">
        <v>1</v>
      </c>
      <c r="R91">
        <v>5100</v>
      </c>
      <c r="S91">
        <v>5100</v>
      </c>
      <c r="T91">
        <v>5100</v>
      </c>
      <c r="U91" t="s">
        <v>26</v>
      </c>
      <c r="V91" s="18">
        <v>45593</v>
      </c>
      <c r="W91" s="18">
        <v>45607</v>
      </c>
      <c r="X91" s="18">
        <v>45617</v>
      </c>
      <c r="Y91" t="s">
        <v>67</v>
      </c>
      <c r="Z91" t="s">
        <v>28</v>
      </c>
      <c r="AA91">
        <v>-10</v>
      </c>
      <c r="AB91" t="s">
        <v>298</v>
      </c>
      <c r="AC91" t="s">
        <v>29</v>
      </c>
    </row>
    <row r="92" spans="1:29" x14ac:dyDescent="0.3">
      <c r="A92">
        <v>92</v>
      </c>
      <c r="B92">
        <v>25667</v>
      </c>
      <c r="C92">
        <v>6366</v>
      </c>
      <c r="D92" t="s">
        <v>267</v>
      </c>
      <c r="E92" t="s">
        <v>237</v>
      </c>
      <c r="F92">
        <v>0</v>
      </c>
      <c r="G92" t="s">
        <v>91</v>
      </c>
      <c r="H92" t="s">
        <v>21</v>
      </c>
      <c r="I92" t="s">
        <v>53</v>
      </c>
      <c r="J92" t="s">
        <v>22</v>
      </c>
      <c r="K92" t="s">
        <v>61</v>
      </c>
      <c r="L92" t="s">
        <v>24</v>
      </c>
      <c r="M92" t="s">
        <v>167</v>
      </c>
      <c r="N92">
        <v>0</v>
      </c>
      <c r="O92">
        <v>0</v>
      </c>
      <c r="P92">
        <v>1</v>
      </c>
      <c r="Q92">
        <v>1</v>
      </c>
      <c r="R92">
        <v>5300</v>
      </c>
      <c r="S92">
        <v>5300</v>
      </c>
      <c r="T92">
        <v>5300</v>
      </c>
      <c r="U92" t="s">
        <v>26</v>
      </c>
      <c r="V92" s="18">
        <v>45593</v>
      </c>
      <c r="W92" s="18">
        <v>45607</v>
      </c>
      <c r="X92" s="18">
        <v>45617</v>
      </c>
      <c r="Y92" t="s">
        <v>67</v>
      </c>
      <c r="Z92" t="s">
        <v>28</v>
      </c>
      <c r="AA92">
        <v>-10</v>
      </c>
      <c r="AB92" t="s">
        <v>298</v>
      </c>
      <c r="AC92" t="s">
        <v>29</v>
      </c>
    </row>
    <row r="93" spans="1:29" x14ac:dyDescent="0.3">
      <c r="A93">
        <v>93</v>
      </c>
      <c r="B93">
        <v>1744766</v>
      </c>
      <c r="C93">
        <v>1298738</v>
      </c>
      <c r="D93" t="s">
        <v>268</v>
      </c>
      <c r="E93" t="s">
        <v>237</v>
      </c>
      <c r="F93">
        <v>1</v>
      </c>
      <c r="G93" t="s">
        <v>192</v>
      </c>
      <c r="H93" t="s">
        <v>21</v>
      </c>
      <c r="I93" t="s">
        <v>53</v>
      </c>
      <c r="J93" t="s">
        <v>22</v>
      </c>
      <c r="K93" t="s">
        <v>38</v>
      </c>
      <c r="L93" t="s">
        <v>24</v>
      </c>
      <c r="M93" t="s">
        <v>172</v>
      </c>
      <c r="N93">
        <v>0</v>
      </c>
      <c r="O93">
        <v>0</v>
      </c>
      <c r="P93">
        <v>1</v>
      </c>
      <c r="Q93">
        <v>1</v>
      </c>
      <c r="R93">
        <v>12099</v>
      </c>
      <c r="S93">
        <v>12099</v>
      </c>
      <c r="T93">
        <v>12099</v>
      </c>
      <c r="U93" t="s">
        <v>26</v>
      </c>
      <c r="V93" s="18">
        <v>45607</v>
      </c>
      <c r="W93" s="18">
        <v>45622</v>
      </c>
      <c r="X93" s="18">
        <v>45623</v>
      </c>
      <c r="Y93" t="s">
        <v>67</v>
      </c>
      <c r="Z93" t="s">
        <v>28</v>
      </c>
      <c r="AA93">
        <v>-1</v>
      </c>
      <c r="AB93" t="s">
        <v>299</v>
      </c>
      <c r="AC93" t="s">
        <v>29</v>
      </c>
    </row>
    <row r="94" spans="1:29" x14ac:dyDescent="0.3">
      <c r="A94">
        <v>94</v>
      </c>
      <c r="B94">
        <v>240082226</v>
      </c>
      <c r="C94">
        <v>20123</v>
      </c>
      <c r="D94" t="s">
        <v>95</v>
      </c>
      <c r="E94" t="s">
        <v>278</v>
      </c>
      <c r="F94">
        <v>0</v>
      </c>
      <c r="G94" t="s">
        <v>52</v>
      </c>
      <c r="H94" t="s">
        <v>95</v>
      </c>
      <c r="I94" t="s">
        <v>53</v>
      </c>
      <c r="J94" t="s">
        <v>69</v>
      </c>
      <c r="K94" t="s">
        <v>54</v>
      </c>
      <c r="L94" t="s">
        <v>33</v>
      </c>
      <c r="M94" t="s">
        <v>171</v>
      </c>
      <c r="N94">
        <v>0</v>
      </c>
      <c r="O94">
        <v>0</v>
      </c>
      <c r="P94">
        <v>1</v>
      </c>
      <c r="Q94">
        <v>1</v>
      </c>
      <c r="R94">
        <v>15872</v>
      </c>
      <c r="S94">
        <v>15872</v>
      </c>
      <c r="T94">
        <v>15872</v>
      </c>
      <c r="U94" t="s">
        <v>56</v>
      </c>
      <c r="V94" s="18">
        <v>45604</v>
      </c>
      <c r="W94" s="18">
        <v>45600</v>
      </c>
      <c r="X94" s="18">
        <v>45610</v>
      </c>
      <c r="Y94" t="s">
        <v>67</v>
      </c>
      <c r="Z94" t="s">
        <v>28</v>
      </c>
      <c r="AA94">
        <v>-10</v>
      </c>
      <c r="AB94" t="s">
        <v>299</v>
      </c>
      <c r="AC94" t="s">
        <v>29</v>
      </c>
    </row>
    <row r="95" spans="1:29" x14ac:dyDescent="0.3">
      <c r="A95">
        <v>95</v>
      </c>
      <c r="B95">
        <v>3290</v>
      </c>
      <c r="C95">
        <v>859666</v>
      </c>
      <c r="D95" t="s">
        <v>235</v>
      </c>
      <c r="E95" t="s">
        <v>278</v>
      </c>
      <c r="F95">
        <v>1</v>
      </c>
      <c r="G95" t="s">
        <v>57</v>
      </c>
      <c r="H95" t="s">
        <v>235</v>
      </c>
      <c r="I95" t="s">
        <v>53</v>
      </c>
      <c r="J95" t="s">
        <v>22</v>
      </c>
      <c r="K95" t="s">
        <v>61</v>
      </c>
      <c r="L95" t="s">
        <v>24</v>
      </c>
      <c r="M95" t="s">
        <v>167</v>
      </c>
      <c r="N95">
        <v>0</v>
      </c>
      <c r="O95">
        <v>0</v>
      </c>
      <c r="P95">
        <v>1</v>
      </c>
      <c r="Q95">
        <v>1</v>
      </c>
      <c r="R95">
        <v>4520</v>
      </c>
      <c r="S95">
        <v>4520</v>
      </c>
      <c r="T95">
        <v>4520</v>
      </c>
      <c r="U95" t="s">
        <v>56</v>
      </c>
      <c r="V95" s="18">
        <v>45606</v>
      </c>
      <c r="W95" s="18">
        <v>45618</v>
      </c>
      <c r="X95" s="18">
        <v>45617</v>
      </c>
      <c r="Y95" t="s">
        <v>67</v>
      </c>
      <c r="Z95" t="s">
        <v>28</v>
      </c>
      <c r="AA95">
        <v>1</v>
      </c>
      <c r="AB95" t="s">
        <v>299</v>
      </c>
      <c r="AC95" t="s">
        <v>49</v>
      </c>
    </row>
    <row r="96" spans="1:29" x14ac:dyDescent="0.3">
      <c r="A96">
        <v>96</v>
      </c>
      <c r="B96">
        <v>6725</v>
      </c>
      <c r="C96">
        <v>220001</v>
      </c>
      <c r="D96" t="s">
        <v>97</v>
      </c>
      <c r="E96" t="s">
        <v>278</v>
      </c>
      <c r="F96">
        <v>0</v>
      </c>
      <c r="G96" t="s">
        <v>163</v>
      </c>
      <c r="H96" t="s">
        <v>232</v>
      </c>
      <c r="I96" t="s">
        <v>53</v>
      </c>
      <c r="J96" t="s">
        <v>22</v>
      </c>
      <c r="K96" t="s">
        <v>38</v>
      </c>
      <c r="L96" t="s">
        <v>33</v>
      </c>
      <c r="M96" t="s">
        <v>172</v>
      </c>
      <c r="N96">
        <v>0</v>
      </c>
      <c r="O96">
        <v>0</v>
      </c>
      <c r="P96">
        <v>1</v>
      </c>
      <c r="Q96">
        <v>1</v>
      </c>
      <c r="R96">
        <v>5766</v>
      </c>
      <c r="S96">
        <v>5766</v>
      </c>
      <c r="T96">
        <v>5766</v>
      </c>
      <c r="U96" t="s">
        <v>56</v>
      </c>
      <c r="V96" s="18">
        <v>45608</v>
      </c>
      <c r="W96" s="18">
        <v>45622</v>
      </c>
      <c r="X96" s="18">
        <v>45621</v>
      </c>
      <c r="Y96" t="s">
        <v>67</v>
      </c>
      <c r="Z96" t="s">
        <v>28</v>
      </c>
      <c r="AA96">
        <v>1</v>
      </c>
      <c r="AB96" t="s">
        <v>299</v>
      </c>
      <c r="AC96" t="s">
        <v>49</v>
      </c>
    </row>
    <row r="97" spans="1:29" x14ac:dyDescent="0.3">
      <c r="A97">
        <v>97</v>
      </c>
      <c r="B97">
        <v>1752544</v>
      </c>
      <c r="C97">
        <v>1302011</v>
      </c>
      <c r="D97" t="s">
        <v>193</v>
      </c>
      <c r="E97" t="s">
        <v>237</v>
      </c>
      <c r="F97">
        <v>1</v>
      </c>
      <c r="G97" t="s">
        <v>91</v>
      </c>
      <c r="H97" t="s">
        <v>21</v>
      </c>
      <c r="I97" t="s">
        <v>53</v>
      </c>
      <c r="J97" t="s">
        <v>22</v>
      </c>
      <c r="K97" t="s">
        <v>61</v>
      </c>
      <c r="L97" t="s">
        <v>131</v>
      </c>
      <c r="M97" t="s">
        <v>167</v>
      </c>
      <c r="N97">
        <v>0</v>
      </c>
      <c r="O97">
        <v>0</v>
      </c>
      <c r="P97">
        <v>1</v>
      </c>
      <c r="Q97">
        <v>1</v>
      </c>
      <c r="R97">
        <v>11395</v>
      </c>
      <c r="S97">
        <v>11395</v>
      </c>
      <c r="T97">
        <v>11395</v>
      </c>
      <c r="U97" t="s">
        <v>26</v>
      </c>
      <c r="V97" s="18">
        <v>45608</v>
      </c>
      <c r="W97" s="18">
        <v>45620</v>
      </c>
      <c r="X97" s="18">
        <v>45623</v>
      </c>
      <c r="Y97" t="s">
        <v>67</v>
      </c>
      <c r="Z97" t="s">
        <v>28</v>
      </c>
      <c r="AA97">
        <v>-3</v>
      </c>
      <c r="AB97" t="s">
        <v>299</v>
      </c>
      <c r="AC97" t="s">
        <v>29</v>
      </c>
    </row>
    <row r="98" spans="1:29" x14ac:dyDescent="0.3">
      <c r="A98">
        <v>98</v>
      </c>
      <c r="B98">
        <v>1755075</v>
      </c>
      <c r="C98">
        <v>1303159</v>
      </c>
      <c r="D98" t="s">
        <v>194</v>
      </c>
      <c r="E98" t="s">
        <v>237</v>
      </c>
      <c r="F98">
        <v>1</v>
      </c>
      <c r="G98" t="s">
        <v>57</v>
      </c>
      <c r="H98" t="s">
        <v>21</v>
      </c>
      <c r="I98" t="s">
        <v>53</v>
      </c>
      <c r="J98" t="s">
        <v>22</v>
      </c>
      <c r="K98" t="s">
        <v>38</v>
      </c>
      <c r="L98" t="s">
        <v>24</v>
      </c>
      <c r="M98" t="s">
        <v>172</v>
      </c>
      <c r="N98">
        <v>0</v>
      </c>
      <c r="O98">
        <v>0</v>
      </c>
      <c r="P98">
        <v>1</v>
      </c>
      <c r="Q98">
        <v>1</v>
      </c>
      <c r="R98">
        <v>12919</v>
      </c>
      <c r="S98">
        <v>12919</v>
      </c>
      <c r="T98">
        <v>12919</v>
      </c>
      <c r="U98" t="s">
        <v>26</v>
      </c>
      <c r="V98" s="18">
        <v>45610</v>
      </c>
      <c r="W98" s="18">
        <v>45626</v>
      </c>
      <c r="X98" s="18">
        <v>45623</v>
      </c>
      <c r="Y98" t="s">
        <v>67</v>
      </c>
      <c r="Z98" t="s">
        <v>28</v>
      </c>
      <c r="AA98">
        <v>3</v>
      </c>
      <c r="AB98" t="s">
        <v>299</v>
      </c>
      <c r="AC98" t="s">
        <v>49</v>
      </c>
    </row>
    <row r="99" spans="1:29" x14ac:dyDescent="0.3">
      <c r="A99">
        <v>99</v>
      </c>
      <c r="B99">
        <v>6806</v>
      </c>
      <c r="C99">
        <v>45888</v>
      </c>
      <c r="D99" t="s">
        <v>97</v>
      </c>
      <c r="E99" t="s">
        <v>278</v>
      </c>
      <c r="F99">
        <v>0</v>
      </c>
      <c r="G99" t="s">
        <v>195</v>
      </c>
      <c r="H99" t="s">
        <v>232</v>
      </c>
      <c r="I99" t="s">
        <v>53</v>
      </c>
      <c r="J99" t="s">
        <v>22</v>
      </c>
      <c r="K99" t="s">
        <v>38</v>
      </c>
      <c r="L99" t="s">
        <v>50</v>
      </c>
      <c r="M99" t="s">
        <v>172</v>
      </c>
      <c r="N99">
        <v>0</v>
      </c>
      <c r="O99">
        <v>0</v>
      </c>
      <c r="P99">
        <v>1</v>
      </c>
      <c r="Q99">
        <v>1</v>
      </c>
      <c r="R99">
        <v>6376</v>
      </c>
      <c r="S99">
        <v>6376</v>
      </c>
      <c r="T99">
        <v>6376</v>
      </c>
      <c r="U99" t="s">
        <v>56</v>
      </c>
      <c r="V99" s="18">
        <v>45610</v>
      </c>
      <c r="W99" s="18">
        <v>45623</v>
      </c>
      <c r="X99" s="18">
        <v>45621</v>
      </c>
      <c r="Y99" t="s">
        <v>67</v>
      </c>
      <c r="Z99" t="s">
        <v>28</v>
      </c>
      <c r="AA99">
        <v>2</v>
      </c>
      <c r="AB99" t="s">
        <v>299</v>
      </c>
      <c r="AC99" t="s">
        <v>49</v>
      </c>
    </row>
    <row r="100" spans="1:29" x14ac:dyDescent="0.3">
      <c r="A100">
        <v>100</v>
      </c>
      <c r="B100">
        <v>6626</v>
      </c>
      <c r="C100">
        <v>6520</v>
      </c>
      <c r="D100" t="s">
        <v>97</v>
      </c>
      <c r="E100" t="s">
        <v>278</v>
      </c>
      <c r="F100">
        <v>0</v>
      </c>
      <c r="G100" t="s">
        <v>196</v>
      </c>
      <c r="H100" t="s">
        <v>232</v>
      </c>
      <c r="I100" t="s">
        <v>53</v>
      </c>
      <c r="J100" t="s">
        <v>22</v>
      </c>
      <c r="K100" t="s">
        <v>38</v>
      </c>
      <c r="L100" t="s">
        <v>33</v>
      </c>
      <c r="M100" t="s">
        <v>172</v>
      </c>
      <c r="N100">
        <v>0</v>
      </c>
      <c r="O100">
        <v>0</v>
      </c>
      <c r="P100">
        <v>1</v>
      </c>
      <c r="Q100">
        <v>1</v>
      </c>
      <c r="R100">
        <v>5294</v>
      </c>
      <c r="S100">
        <v>5294</v>
      </c>
      <c r="T100">
        <v>5294</v>
      </c>
      <c r="U100" t="s">
        <v>56</v>
      </c>
      <c r="V100" s="18">
        <v>45610</v>
      </c>
      <c r="W100" s="18">
        <v>45623</v>
      </c>
      <c r="X100" s="18">
        <v>45621</v>
      </c>
      <c r="Y100" t="s">
        <v>67</v>
      </c>
      <c r="Z100" t="s">
        <v>28</v>
      </c>
      <c r="AA100">
        <v>2</v>
      </c>
      <c r="AB100" t="s">
        <v>299</v>
      </c>
      <c r="AC100" t="s">
        <v>49</v>
      </c>
    </row>
    <row r="101" spans="1:29" x14ac:dyDescent="0.3">
      <c r="A101">
        <v>101</v>
      </c>
      <c r="B101">
        <v>265453625</v>
      </c>
      <c r="C101">
        <v>78520</v>
      </c>
      <c r="D101" t="s">
        <v>269</v>
      </c>
      <c r="E101" t="s">
        <v>237</v>
      </c>
      <c r="F101">
        <v>1</v>
      </c>
      <c r="G101" t="s">
        <v>60</v>
      </c>
      <c r="H101" t="s">
        <v>233</v>
      </c>
      <c r="I101" t="s">
        <v>120</v>
      </c>
      <c r="J101" t="s">
        <v>22</v>
      </c>
      <c r="K101" t="s">
        <v>38</v>
      </c>
      <c r="L101" t="s">
        <v>24</v>
      </c>
      <c r="M101" t="s">
        <v>172</v>
      </c>
      <c r="N101">
        <v>0</v>
      </c>
      <c r="O101">
        <v>0</v>
      </c>
      <c r="P101">
        <v>1</v>
      </c>
      <c r="Q101">
        <v>1</v>
      </c>
      <c r="R101">
        <v>7396</v>
      </c>
      <c r="S101">
        <v>7396</v>
      </c>
      <c r="T101">
        <v>7396</v>
      </c>
      <c r="U101" t="s">
        <v>26</v>
      </c>
      <c r="V101" s="18">
        <v>45613</v>
      </c>
      <c r="W101" s="18">
        <v>45624</v>
      </c>
      <c r="X101" s="18">
        <v>45622</v>
      </c>
      <c r="Y101" t="s">
        <v>67</v>
      </c>
      <c r="Z101" t="s">
        <v>28</v>
      </c>
      <c r="AA101">
        <v>2</v>
      </c>
      <c r="AB101" t="s">
        <v>299</v>
      </c>
      <c r="AC101" t="s">
        <v>49</v>
      </c>
    </row>
    <row r="102" spans="1:29" x14ac:dyDescent="0.3">
      <c r="A102">
        <v>102</v>
      </c>
      <c r="B102">
        <v>1762617</v>
      </c>
      <c r="C102">
        <v>1306879</v>
      </c>
      <c r="D102" t="s">
        <v>145</v>
      </c>
      <c r="E102" t="s">
        <v>237</v>
      </c>
      <c r="F102">
        <v>0</v>
      </c>
      <c r="G102" t="s">
        <v>60</v>
      </c>
      <c r="H102" t="s">
        <v>21</v>
      </c>
      <c r="I102" t="s">
        <v>120</v>
      </c>
      <c r="J102" t="s">
        <v>22</v>
      </c>
      <c r="K102" t="s">
        <v>38</v>
      </c>
      <c r="L102" t="s">
        <v>33</v>
      </c>
      <c r="M102" t="s">
        <v>172</v>
      </c>
      <c r="N102">
        <v>0</v>
      </c>
      <c r="O102">
        <v>0</v>
      </c>
      <c r="P102">
        <v>1</v>
      </c>
      <c r="Q102">
        <v>1</v>
      </c>
      <c r="R102">
        <v>13439</v>
      </c>
      <c r="S102">
        <v>13439</v>
      </c>
      <c r="T102">
        <v>13439</v>
      </c>
      <c r="U102" t="s">
        <v>26</v>
      </c>
      <c r="V102" s="18">
        <v>45616</v>
      </c>
      <c r="W102" s="18">
        <v>45631</v>
      </c>
      <c r="X102" s="18">
        <v>45622</v>
      </c>
      <c r="Y102" t="s">
        <v>67</v>
      </c>
      <c r="Z102" t="s">
        <v>28</v>
      </c>
      <c r="AA102">
        <v>9</v>
      </c>
      <c r="AB102" t="s">
        <v>299</v>
      </c>
      <c r="AC102" t="s">
        <v>49</v>
      </c>
    </row>
    <row r="103" spans="1:29" x14ac:dyDescent="0.3">
      <c r="A103">
        <v>103</v>
      </c>
      <c r="B103">
        <v>896302</v>
      </c>
      <c r="C103">
        <v>452013</v>
      </c>
      <c r="D103" t="s">
        <v>234</v>
      </c>
      <c r="E103" t="s">
        <v>278</v>
      </c>
      <c r="F103">
        <v>0</v>
      </c>
      <c r="G103" t="s">
        <v>68</v>
      </c>
      <c r="H103" t="s">
        <v>234</v>
      </c>
      <c r="I103" t="s">
        <v>53</v>
      </c>
      <c r="J103" t="s">
        <v>22</v>
      </c>
      <c r="K103" t="s">
        <v>61</v>
      </c>
      <c r="L103" t="s">
        <v>33</v>
      </c>
      <c r="M103" t="s">
        <v>167</v>
      </c>
      <c r="N103">
        <v>0</v>
      </c>
      <c r="O103">
        <v>0</v>
      </c>
      <c r="P103">
        <v>1</v>
      </c>
      <c r="Q103">
        <v>1</v>
      </c>
      <c r="R103">
        <v>5100</v>
      </c>
      <c r="S103">
        <v>5100</v>
      </c>
      <c r="T103">
        <v>5100</v>
      </c>
      <c r="U103" t="s">
        <v>56</v>
      </c>
      <c r="V103" s="18">
        <v>45610</v>
      </c>
      <c r="W103" s="18">
        <v>45634</v>
      </c>
      <c r="X103" s="18">
        <v>45619</v>
      </c>
      <c r="Y103" t="s">
        <v>67</v>
      </c>
      <c r="Z103" t="s">
        <v>28</v>
      </c>
      <c r="AA103">
        <v>15</v>
      </c>
      <c r="AB103" t="s">
        <v>299</v>
      </c>
      <c r="AC103" t="s">
        <v>49</v>
      </c>
    </row>
    <row r="104" spans="1:29" x14ac:dyDescent="0.3">
      <c r="A104">
        <v>104</v>
      </c>
      <c r="B104">
        <v>21569</v>
      </c>
      <c r="C104">
        <v>785210</v>
      </c>
      <c r="D104" t="s">
        <v>197</v>
      </c>
      <c r="E104" t="s">
        <v>237</v>
      </c>
      <c r="F104">
        <v>1</v>
      </c>
      <c r="G104" t="s">
        <v>72</v>
      </c>
      <c r="H104" t="s">
        <v>58</v>
      </c>
      <c r="I104" t="s">
        <v>53</v>
      </c>
      <c r="J104" t="s">
        <v>22</v>
      </c>
      <c r="K104" t="s">
        <v>61</v>
      </c>
      <c r="L104" t="s">
        <v>118</v>
      </c>
      <c r="M104" t="s">
        <v>167</v>
      </c>
      <c r="N104">
        <v>0</v>
      </c>
      <c r="O104">
        <v>0</v>
      </c>
      <c r="P104">
        <v>1</v>
      </c>
      <c r="Q104">
        <v>1</v>
      </c>
      <c r="R104">
        <v>6000</v>
      </c>
      <c r="S104">
        <v>6000</v>
      </c>
      <c r="T104">
        <v>6000</v>
      </c>
      <c r="U104" t="s">
        <v>26</v>
      </c>
      <c r="V104" s="18">
        <v>45618</v>
      </c>
      <c r="W104" s="18">
        <v>45628</v>
      </c>
      <c r="X104" s="18">
        <v>45623</v>
      </c>
      <c r="Y104" t="s">
        <v>67</v>
      </c>
      <c r="Z104" t="s">
        <v>28</v>
      </c>
      <c r="AA104">
        <v>5</v>
      </c>
      <c r="AB104" t="s">
        <v>299</v>
      </c>
      <c r="AC104" t="s">
        <v>49</v>
      </c>
    </row>
    <row r="105" spans="1:29" x14ac:dyDescent="0.3">
      <c r="A105">
        <v>105</v>
      </c>
      <c r="B105">
        <v>1765451</v>
      </c>
      <c r="C105">
        <v>1308241</v>
      </c>
      <c r="D105" t="s">
        <v>270</v>
      </c>
      <c r="E105" t="s">
        <v>237</v>
      </c>
      <c r="F105">
        <v>1</v>
      </c>
      <c r="G105" t="s">
        <v>198</v>
      </c>
      <c r="H105" t="s">
        <v>21</v>
      </c>
      <c r="I105" t="s">
        <v>53</v>
      </c>
      <c r="J105" t="s">
        <v>22</v>
      </c>
      <c r="K105" t="s">
        <v>61</v>
      </c>
      <c r="L105" t="s">
        <v>50</v>
      </c>
      <c r="M105" t="s">
        <v>167</v>
      </c>
      <c r="N105">
        <v>0</v>
      </c>
      <c r="O105">
        <v>0</v>
      </c>
      <c r="P105">
        <v>1</v>
      </c>
      <c r="Q105">
        <v>1</v>
      </c>
      <c r="R105">
        <v>10885</v>
      </c>
      <c r="S105">
        <v>10885</v>
      </c>
      <c r="T105">
        <v>10885</v>
      </c>
      <c r="U105" t="s">
        <v>26</v>
      </c>
      <c r="V105" s="18">
        <v>45620</v>
      </c>
      <c r="W105" s="18">
        <v>45631</v>
      </c>
      <c r="X105" s="18">
        <v>45636</v>
      </c>
      <c r="Y105" t="s">
        <v>67</v>
      </c>
      <c r="Z105" t="s">
        <v>28</v>
      </c>
      <c r="AA105">
        <v>-5</v>
      </c>
      <c r="AB105" t="s">
        <v>299</v>
      </c>
      <c r="AC105" t="s">
        <v>29</v>
      </c>
    </row>
    <row r="106" spans="1:29" x14ac:dyDescent="0.3">
      <c r="A106">
        <v>106</v>
      </c>
      <c r="B106">
        <v>4586222</v>
      </c>
      <c r="C106">
        <v>56988</v>
      </c>
      <c r="D106" t="s">
        <v>234</v>
      </c>
      <c r="E106" t="s">
        <v>278</v>
      </c>
      <c r="F106">
        <v>0</v>
      </c>
      <c r="G106" t="s">
        <v>68</v>
      </c>
      <c r="H106" t="s">
        <v>234</v>
      </c>
      <c r="I106" t="s">
        <v>53</v>
      </c>
      <c r="J106" t="s">
        <v>69</v>
      </c>
      <c r="K106" t="s">
        <v>199</v>
      </c>
      <c r="L106" t="s">
        <v>33</v>
      </c>
      <c r="M106" t="s">
        <v>200</v>
      </c>
      <c r="N106">
        <v>0</v>
      </c>
      <c r="O106">
        <v>0</v>
      </c>
      <c r="P106">
        <v>1</v>
      </c>
      <c r="Q106">
        <v>1</v>
      </c>
      <c r="R106">
        <v>6000</v>
      </c>
      <c r="S106">
        <v>6000</v>
      </c>
      <c r="T106">
        <v>6000</v>
      </c>
      <c r="U106" t="s">
        <v>56</v>
      </c>
      <c r="V106" s="18">
        <v>45615</v>
      </c>
      <c r="W106" s="18">
        <v>45631</v>
      </c>
      <c r="X106" s="18">
        <v>45616</v>
      </c>
      <c r="Y106" t="s">
        <v>201</v>
      </c>
      <c r="Z106" t="s">
        <v>28</v>
      </c>
      <c r="AA106">
        <v>15</v>
      </c>
      <c r="AB106" t="s">
        <v>299</v>
      </c>
      <c r="AC106" t="s">
        <v>49</v>
      </c>
    </row>
    <row r="107" spans="1:29" x14ac:dyDescent="0.3">
      <c r="A107">
        <v>107</v>
      </c>
      <c r="B107">
        <v>1782674</v>
      </c>
      <c r="C107">
        <v>1315860</v>
      </c>
      <c r="D107" t="s">
        <v>202</v>
      </c>
      <c r="E107" t="s">
        <v>237</v>
      </c>
      <c r="F107">
        <v>1</v>
      </c>
      <c r="G107" t="s">
        <v>203</v>
      </c>
      <c r="H107" t="s">
        <v>21</v>
      </c>
      <c r="I107" t="s">
        <v>32</v>
      </c>
      <c r="J107" t="s">
        <v>46</v>
      </c>
      <c r="K107" t="s">
        <v>108</v>
      </c>
      <c r="L107" t="s">
        <v>33</v>
      </c>
      <c r="M107" t="s">
        <v>162</v>
      </c>
      <c r="N107">
        <v>0</v>
      </c>
      <c r="O107">
        <v>0</v>
      </c>
      <c r="P107">
        <v>1</v>
      </c>
      <c r="Q107">
        <v>1</v>
      </c>
      <c r="R107">
        <v>8449</v>
      </c>
      <c r="S107">
        <v>8449</v>
      </c>
      <c r="T107">
        <v>8449</v>
      </c>
      <c r="U107" t="s">
        <v>26</v>
      </c>
      <c r="V107" s="18">
        <v>45623</v>
      </c>
      <c r="W107" s="18">
        <v>45636</v>
      </c>
      <c r="X107" s="18">
        <v>45649</v>
      </c>
      <c r="Y107" t="s">
        <v>27</v>
      </c>
      <c r="Z107" t="s">
        <v>28</v>
      </c>
      <c r="AA107">
        <v>-13</v>
      </c>
      <c r="AB107" t="s">
        <v>299</v>
      </c>
      <c r="AC107" t="s">
        <v>29</v>
      </c>
    </row>
    <row r="108" spans="1:29" x14ac:dyDescent="0.3">
      <c r="A108">
        <v>108</v>
      </c>
      <c r="B108">
        <v>1781530</v>
      </c>
      <c r="C108">
        <v>1315450</v>
      </c>
      <c r="D108" t="s">
        <v>204</v>
      </c>
      <c r="E108" t="s">
        <v>237</v>
      </c>
      <c r="F108">
        <v>1</v>
      </c>
      <c r="G108" t="s">
        <v>83</v>
      </c>
      <c r="H108" t="s">
        <v>21</v>
      </c>
      <c r="I108" t="s">
        <v>53</v>
      </c>
      <c r="J108" t="s">
        <v>46</v>
      </c>
      <c r="K108" t="s">
        <v>215</v>
      </c>
      <c r="L108" t="s">
        <v>24</v>
      </c>
      <c r="M108" t="s">
        <v>205</v>
      </c>
      <c r="N108">
        <v>0</v>
      </c>
      <c r="O108">
        <v>0</v>
      </c>
      <c r="P108">
        <v>1</v>
      </c>
      <c r="Q108">
        <v>1</v>
      </c>
      <c r="R108">
        <v>10249</v>
      </c>
      <c r="S108">
        <v>10249</v>
      </c>
      <c r="T108">
        <v>10249</v>
      </c>
      <c r="U108" t="s">
        <v>26</v>
      </c>
      <c r="V108" s="18">
        <v>45623</v>
      </c>
      <c r="W108" s="18">
        <v>45636</v>
      </c>
      <c r="X108" s="18">
        <v>45645</v>
      </c>
      <c r="Y108" t="s">
        <v>67</v>
      </c>
      <c r="Z108" t="s">
        <v>28</v>
      </c>
      <c r="AA108">
        <v>-9</v>
      </c>
      <c r="AB108" t="s">
        <v>299</v>
      </c>
      <c r="AC108" t="s">
        <v>29</v>
      </c>
    </row>
    <row r="109" spans="1:29" x14ac:dyDescent="0.3">
      <c r="A109">
        <v>109</v>
      </c>
      <c r="B109">
        <v>1795447</v>
      </c>
      <c r="C109">
        <v>1321584</v>
      </c>
      <c r="D109" t="s">
        <v>206</v>
      </c>
      <c r="E109" t="s">
        <v>237</v>
      </c>
      <c r="F109">
        <v>1</v>
      </c>
      <c r="G109" t="s">
        <v>207</v>
      </c>
      <c r="H109" t="s">
        <v>21</v>
      </c>
      <c r="I109" t="s">
        <v>32</v>
      </c>
      <c r="J109" t="s">
        <v>22</v>
      </c>
      <c r="K109" t="s">
        <v>38</v>
      </c>
      <c r="L109" t="s">
        <v>33</v>
      </c>
      <c r="M109" t="s">
        <v>172</v>
      </c>
      <c r="N109">
        <v>1</v>
      </c>
      <c r="O109">
        <v>14905</v>
      </c>
      <c r="P109">
        <v>1</v>
      </c>
      <c r="Q109">
        <v>0</v>
      </c>
      <c r="R109">
        <v>0</v>
      </c>
      <c r="S109">
        <v>14905</v>
      </c>
      <c r="T109">
        <v>14905</v>
      </c>
      <c r="U109" t="s">
        <v>26</v>
      </c>
      <c r="V109" s="18">
        <v>45625</v>
      </c>
      <c r="W109" s="18">
        <v>45641</v>
      </c>
      <c r="Y109" t="s">
        <v>76</v>
      </c>
      <c r="Z109" t="s">
        <v>42</v>
      </c>
      <c r="AA109" t="s">
        <v>42</v>
      </c>
      <c r="AB109" t="s">
        <v>299</v>
      </c>
      <c r="AC109" t="s">
        <v>42</v>
      </c>
    </row>
    <row r="110" spans="1:29" x14ac:dyDescent="0.3">
      <c r="A110">
        <v>110</v>
      </c>
      <c r="B110">
        <v>1808440</v>
      </c>
      <c r="C110">
        <v>1327172</v>
      </c>
      <c r="D110" t="s">
        <v>208</v>
      </c>
      <c r="E110" t="s">
        <v>237</v>
      </c>
      <c r="F110">
        <v>1</v>
      </c>
      <c r="G110" t="s">
        <v>85</v>
      </c>
      <c r="H110" t="s">
        <v>21</v>
      </c>
      <c r="I110" t="s">
        <v>53</v>
      </c>
      <c r="J110" t="s">
        <v>46</v>
      </c>
      <c r="K110" t="s">
        <v>215</v>
      </c>
      <c r="L110" t="s">
        <v>33</v>
      </c>
      <c r="M110" t="s">
        <v>205</v>
      </c>
      <c r="N110">
        <v>1</v>
      </c>
      <c r="O110">
        <v>10249</v>
      </c>
      <c r="P110">
        <v>1</v>
      </c>
      <c r="Q110">
        <v>0</v>
      </c>
      <c r="R110">
        <v>0</v>
      </c>
      <c r="S110">
        <v>10249</v>
      </c>
      <c r="T110">
        <v>10249</v>
      </c>
      <c r="U110" t="s">
        <v>26</v>
      </c>
      <c r="V110" s="18">
        <v>45626</v>
      </c>
      <c r="W110" s="18">
        <v>45638</v>
      </c>
      <c r="Y110" t="s">
        <v>76</v>
      </c>
      <c r="Z110" t="s">
        <v>42</v>
      </c>
      <c r="AA110" t="s">
        <v>42</v>
      </c>
      <c r="AB110" t="s">
        <v>299</v>
      </c>
      <c r="AC110" t="s">
        <v>42</v>
      </c>
    </row>
    <row r="111" spans="1:29" x14ac:dyDescent="0.3">
      <c r="A111">
        <v>111</v>
      </c>
      <c r="B111">
        <v>1808441</v>
      </c>
      <c r="C111">
        <v>1327172</v>
      </c>
      <c r="D111" t="s">
        <v>208</v>
      </c>
      <c r="E111" t="s">
        <v>237</v>
      </c>
      <c r="F111">
        <v>0</v>
      </c>
      <c r="G111" t="s">
        <v>85</v>
      </c>
      <c r="H111" t="s">
        <v>21</v>
      </c>
      <c r="I111" t="s">
        <v>53</v>
      </c>
      <c r="J111" t="s">
        <v>46</v>
      </c>
      <c r="K111" t="s">
        <v>108</v>
      </c>
      <c r="L111" t="s">
        <v>33</v>
      </c>
      <c r="M111" t="s">
        <v>169</v>
      </c>
      <c r="N111">
        <v>1</v>
      </c>
      <c r="O111">
        <v>9029</v>
      </c>
      <c r="P111">
        <v>1</v>
      </c>
      <c r="Q111">
        <v>0</v>
      </c>
      <c r="R111">
        <v>0</v>
      </c>
      <c r="S111">
        <v>9029</v>
      </c>
      <c r="T111">
        <v>9029</v>
      </c>
      <c r="U111" t="s">
        <v>26</v>
      </c>
      <c r="V111" s="18">
        <v>45626</v>
      </c>
      <c r="W111" s="18">
        <v>45638</v>
      </c>
      <c r="Y111" t="s">
        <v>76</v>
      </c>
      <c r="Z111" t="s">
        <v>42</v>
      </c>
      <c r="AA111" t="s">
        <v>42</v>
      </c>
      <c r="AB111" t="s">
        <v>299</v>
      </c>
      <c r="AC111" t="s">
        <v>42</v>
      </c>
    </row>
    <row r="112" spans="1:29" x14ac:dyDescent="0.3">
      <c r="A112">
        <v>112</v>
      </c>
      <c r="B112">
        <v>1805052</v>
      </c>
      <c r="C112">
        <v>1325637</v>
      </c>
      <c r="D112" t="s">
        <v>209</v>
      </c>
      <c r="E112" t="s">
        <v>237</v>
      </c>
      <c r="F112">
        <v>1</v>
      </c>
      <c r="G112" t="s">
        <v>103</v>
      </c>
      <c r="H112" t="s">
        <v>21</v>
      </c>
      <c r="I112" t="s">
        <v>104</v>
      </c>
      <c r="J112" t="s">
        <v>46</v>
      </c>
      <c r="K112" t="s">
        <v>78</v>
      </c>
      <c r="L112" t="s">
        <v>33</v>
      </c>
      <c r="M112" t="s">
        <v>210</v>
      </c>
      <c r="N112">
        <v>0</v>
      </c>
      <c r="O112">
        <v>0</v>
      </c>
      <c r="P112">
        <v>2</v>
      </c>
      <c r="Q112">
        <v>2</v>
      </c>
      <c r="R112">
        <v>18058</v>
      </c>
      <c r="S112">
        <v>18058</v>
      </c>
      <c r="T112">
        <v>9029</v>
      </c>
      <c r="U112" t="s">
        <v>26</v>
      </c>
      <c r="V112" s="18">
        <v>45626</v>
      </c>
      <c r="W112" s="18">
        <v>45638</v>
      </c>
      <c r="X112" s="18">
        <v>45635</v>
      </c>
      <c r="Y112" t="s">
        <v>67</v>
      </c>
      <c r="Z112" t="s">
        <v>28</v>
      </c>
      <c r="AA112">
        <v>3</v>
      </c>
      <c r="AB112" t="s">
        <v>299</v>
      </c>
      <c r="AC112" t="s">
        <v>49</v>
      </c>
    </row>
    <row r="113" spans="1:29" x14ac:dyDescent="0.3">
      <c r="A113">
        <v>113</v>
      </c>
      <c r="B113">
        <v>1813823</v>
      </c>
      <c r="C113">
        <v>1329646</v>
      </c>
      <c r="D113" t="s">
        <v>211</v>
      </c>
      <c r="E113" t="s">
        <v>237</v>
      </c>
      <c r="F113">
        <v>1</v>
      </c>
      <c r="G113" t="s">
        <v>212</v>
      </c>
      <c r="H113" t="s">
        <v>21</v>
      </c>
      <c r="I113" t="s">
        <v>53</v>
      </c>
      <c r="J113" t="s">
        <v>22</v>
      </c>
      <c r="K113" t="s">
        <v>38</v>
      </c>
      <c r="L113" t="s">
        <v>24</v>
      </c>
      <c r="M113" t="s">
        <v>172</v>
      </c>
      <c r="N113">
        <v>1</v>
      </c>
      <c r="O113">
        <v>12099</v>
      </c>
      <c r="P113">
        <v>1</v>
      </c>
      <c r="Q113">
        <v>0</v>
      </c>
      <c r="R113">
        <v>0</v>
      </c>
      <c r="S113">
        <v>12099</v>
      </c>
      <c r="T113">
        <v>12099</v>
      </c>
      <c r="U113" t="s">
        <v>26</v>
      </c>
      <c r="V113" s="18">
        <v>45628</v>
      </c>
      <c r="W113" s="18">
        <v>45643</v>
      </c>
      <c r="X113" s="18">
        <v>45635</v>
      </c>
      <c r="Y113" t="s">
        <v>76</v>
      </c>
      <c r="Z113" t="s">
        <v>42</v>
      </c>
      <c r="AA113" t="s">
        <v>42</v>
      </c>
      <c r="AB113" t="s">
        <v>300</v>
      </c>
      <c r="AC113" t="s">
        <v>42</v>
      </c>
    </row>
    <row r="114" spans="1:29" x14ac:dyDescent="0.3">
      <c r="A114">
        <v>114</v>
      </c>
      <c r="B114">
        <v>7152</v>
      </c>
      <c r="C114">
        <v>10236</v>
      </c>
      <c r="D114" t="s">
        <v>97</v>
      </c>
      <c r="E114" t="s">
        <v>278</v>
      </c>
      <c r="F114">
        <v>0</v>
      </c>
      <c r="G114" t="s">
        <v>163</v>
      </c>
      <c r="H114" t="s">
        <v>232</v>
      </c>
      <c r="I114" t="s">
        <v>53</v>
      </c>
      <c r="J114" t="s">
        <v>22</v>
      </c>
      <c r="K114" t="s">
        <v>38</v>
      </c>
      <c r="L114" t="s">
        <v>39</v>
      </c>
      <c r="M114" t="s">
        <v>172</v>
      </c>
      <c r="N114">
        <v>0</v>
      </c>
      <c r="O114">
        <v>0</v>
      </c>
      <c r="P114">
        <v>1</v>
      </c>
      <c r="Q114">
        <v>1</v>
      </c>
      <c r="R114">
        <v>5217</v>
      </c>
      <c r="S114">
        <v>5217</v>
      </c>
      <c r="T114">
        <v>5217</v>
      </c>
      <c r="U114" t="s">
        <v>56</v>
      </c>
      <c r="V114" s="18">
        <v>45627</v>
      </c>
      <c r="W114" s="18">
        <v>45640</v>
      </c>
      <c r="X114" s="18">
        <v>45636</v>
      </c>
      <c r="Y114" t="s">
        <v>67</v>
      </c>
      <c r="Z114" t="s">
        <v>28</v>
      </c>
      <c r="AA114">
        <v>4</v>
      </c>
      <c r="AB114" t="s">
        <v>300</v>
      </c>
      <c r="AC114" t="s">
        <v>49</v>
      </c>
    </row>
    <row r="115" spans="1:29" x14ac:dyDescent="0.3">
      <c r="A115">
        <v>115</v>
      </c>
      <c r="B115">
        <v>1810950</v>
      </c>
      <c r="C115">
        <v>1328141</v>
      </c>
      <c r="D115" t="s">
        <v>271</v>
      </c>
      <c r="E115" t="s">
        <v>237</v>
      </c>
      <c r="F115">
        <v>1</v>
      </c>
      <c r="G115" t="s">
        <v>148</v>
      </c>
      <c r="H115" t="s">
        <v>21</v>
      </c>
      <c r="I115" t="s">
        <v>99</v>
      </c>
      <c r="J115" t="s">
        <v>22</v>
      </c>
      <c r="K115" t="s">
        <v>23</v>
      </c>
      <c r="L115" t="s">
        <v>33</v>
      </c>
      <c r="M115" t="s">
        <v>177</v>
      </c>
      <c r="N115">
        <v>0</v>
      </c>
      <c r="O115">
        <v>0</v>
      </c>
      <c r="P115">
        <v>1</v>
      </c>
      <c r="Q115">
        <v>1</v>
      </c>
      <c r="R115">
        <v>10249</v>
      </c>
      <c r="S115">
        <v>10249</v>
      </c>
      <c r="T115">
        <v>10249</v>
      </c>
      <c r="U115" t="s">
        <v>26</v>
      </c>
      <c r="V115" s="18">
        <v>45630</v>
      </c>
      <c r="W115" s="18">
        <v>45640</v>
      </c>
      <c r="X115" s="18">
        <v>45645</v>
      </c>
      <c r="Y115" t="s">
        <v>67</v>
      </c>
      <c r="Z115" t="s">
        <v>28</v>
      </c>
      <c r="AA115">
        <v>-5</v>
      </c>
      <c r="AB115" t="s">
        <v>300</v>
      </c>
      <c r="AC115" t="s">
        <v>29</v>
      </c>
    </row>
    <row r="116" spans="1:29" x14ac:dyDescent="0.3">
      <c r="A116">
        <v>116</v>
      </c>
      <c r="B116">
        <v>240085463</v>
      </c>
      <c r="C116">
        <v>12000</v>
      </c>
      <c r="D116" t="s">
        <v>213</v>
      </c>
      <c r="E116" t="s">
        <v>237</v>
      </c>
      <c r="F116">
        <v>1</v>
      </c>
      <c r="G116" t="s">
        <v>214</v>
      </c>
      <c r="H116" t="s">
        <v>95</v>
      </c>
      <c r="I116" t="s">
        <v>53</v>
      </c>
      <c r="J116" t="s">
        <v>22</v>
      </c>
      <c r="K116" t="s">
        <v>38</v>
      </c>
      <c r="L116" t="s">
        <v>33</v>
      </c>
      <c r="M116" t="s">
        <v>172</v>
      </c>
      <c r="N116">
        <v>0</v>
      </c>
      <c r="O116">
        <v>0</v>
      </c>
      <c r="P116">
        <v>1</v>
      </c>
      <c r="Q116">
        <v>1</v>
      </c>
      <c r="R116">
        <v>10445</v>
      </c>
      <c r="S116">
        <v>10445</v>
      </c>
      <c r="T116">
        <v>10445</v>
      </c>
      <c r="U116" t="s">
        <v>26</v>
      </c>
      <c r="V116" s="18">
        <v>45635</v>
      </c>
      <c r="W116" s="18">
        <v>45657</v>
      </c>
      <c r="X116" s="18">
        <v>45638</v>
      </c>
      <c r="Y116" t="s">
        <v>67</v>
      </c>
      <c r="Z116" t="s">
        <v>28</v>
      </c>
      <c r="AA116">
        <v>19</v>
      </c>
      <c r="AB116" t="s">
        <v>300</v>
      </c>
      <c r="AC116" t="s">
        <v>49</v>
      </c>
    </row>
    <row r="117" spans="1:29" x14ac:dyDescent="0.3">
      <c r="A117">
        <v>117</v>
      </c>
      <c r="B117">
        <v>1818591</v>
      </c>
      <c r="C117">
        <v>1332300</v>
      </c>
      <c r="D117" t="s">
        <v>272</v>
      </c>
      <c r="E117" t="s">
        <v>237</v>
      </c>
      <c r="F117">
        <v>1</v>
      </c>
      <c r="G117" t="s">
        <v>85</v>
      </c>
      <c r="H117" t="s">
        <v>21</v>
      </c>
      <c r="I117" t="s">
        <v>53</v>
      </c>
      <c r="J117" t="s">
        <v>46</v>
      </c>
      <c r="K117" t="s">
        <v>215</v>
      </c>
      <c r="L117" t="s">
        <v>33</v>
      </c>
      <c r="M117" t="s">
        <v>205</v>
      </c>
      <c r="N117">
        <v>0</v>
      </c>
      <c r="O117">
        <v>0</v>
      </c>
      <c r="P117">
        <v>1</v>
      </c>
      <c r="Q117">
        <v>1</v>
      </c>
      <c r="R117">
        <v>11199</v>
      </c>
      <c r="S117">
        <v>11199</v>
      </c>
      <c r="T117">
        <v>11199</v>
      </c>
      <c r="U117" t="s">
        <v>26</v>
      </c>
      <c r="V117" s="18">
        <v>45638</v>
      </c>
      <c r="W117" s="18">
        <v>45650</v>
      </c>
      <c r="X117" s="18">
        <v>45645</v>
      </c>
      <c r="Y117" t="s">
        <v>67</v>
      </c>
      <c r="Z117" t="s">
        <v>28</v>
      </c>
      <c r="AA117">
        <v>5</v>
      </c>
      <c r="AB117" t="s">
        <v>300</v>
      </c>
      <c r="AC117" t="s">
        <v>49</v>
      </c>
    </row>
    <row r="118" spans="1:29" x14ac:dyDescent="0.3">
      <c r="A118">
        <v>118</v>
      </c>
      <c r="B118">
        <v>1818396</v>
      </c>
      <c r="C118">
        <v>1332179</v>
      </c>
      <c r="D118" t="s">
        <v>216</v>
      </c>
      <c r="E118" t="s">
        <v>237</v>
      </c>
      <c r="F118">
        <v>1</v>
      </c>
      <c r="G118" t="s">
        <v>60</v>
      </c>
      <c r="H118" t="s">
        <v>21</v>
      </c>
      <c r="I118" t="s">
        <v>120</v>
      </c>
      <c r="J118" t="s">
        <v>22</v>
      </c>
      <c r="K118" t="s">
        <v>38</v>
      </c>
      <c r="L118" t="s">
        <v>33</v>
      </c>
      <c r="M118" t="s">
        <v>217</v>
      </c>
      <c r="N118">
        <v>0</v>
      </c>
      <c r="O118">
        <v>0</v>
      </c>
      <c r="P118">
        <v>1</v>
      </c>
      <c r="Q118">
        <v>1</v>
      </c>
      <c r="R118">
        <v>13099</v>
      </c>
      <c r="S118">
        <v>13099</v>
      </c>
      <c r="T118">
        <v>13099</v>
      </c>
      <c r="U118" t="s">
        <v>26</v>
      </c>
      <c r="V118" s="18">
        <v>45638</v>
      </c>
      <c r="W118" s="18">
        <v>45654</v>
      </c>
      <c r="X118" s="18">
        <v>45655</v>
      </c>
      <c r="Y118" t="s">
        <v>67</v>
      </c>
      <c r="Z118" t="s">
        <v>28</v>
      </c>
      <c r="AA118">
        <v>-1</v>
      </c>
      <c r="AB118" t="s">
        <v>300</v>
      </c>
      <c r="AC118" t="s">
        <v>29</v>
      </c>
    </row>
    <row r="119" spans="1:29" x14ac:dyDescent="0.3">
      <c r="A119">
        <v>119</v>
      </c>
      <c r="B119">
        <v>240085758</v>
      </c>
      <c r="C119">
        <v>10000</v>
      </c>
      <c r="D119" t="s">
        <v>95</v>
      </c>
      <c r="E119" t="s">
        <v>278</v>
      </c>
      <c r="F119">
        <v>0</v>
      </c>
      <c r="G119" t="s">
        <v>52</v>
      </c>
      <c r="H119" t="s">
        <v>95</v>
      </c>
      <c r="I119" t="s">
        <v>53</v>
      </c>
      <c r="J119" t="s">
        <v>69</v>
      </c>
      <c r="K119" t="s">
        <v>54</v>
      </c>
      <c r="L119" t="s">
        <v>33</v>
      </c>
      <c r="M119" t="s">
        <v>218</v>
      </c>
      <c r="N119">
        <v>0</v>
      </c>
      <c r="O119">
        <v>0</v>
      </c>
      <c r="P119">
        <v>1</v>
      </c>
      <c r="Q119">
        <v>1</v>
      </c>
      <c r="R119">
        <v>8700</v>
      </c>
      <c r="S119">
        <v>8700</v>
      </c>
      <c r="T119">
        <v>8700</v>
      </c>
      <c r="U119" t="s">
        <v>56</v>
      </c>
      <c r="V119" s="18">
        <v>45640</v>
      </c>
      <c r="W119" s="18">
        <v>45662</v>
      </c>
      <c r="X119" s="18">
        <v>45655</v>
      </c>
      <c r="Y119" t="s">
        <v>67</v>
      </c>
      <c r="Z119" t="s">
        <v>28</v>
      </c>
      <c r="AA119">
        <v>7</v>
      </c>
      <c r="AB119" t="s">
        <v>300</v>
      </c>
      <c r="AC119" t="s">
        <v>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AF865-17DA-41FE-B939-86D438DF3985}">
  <sheetPr codeName="Sheet5">
    <tabColor rgb="FF7030A0"/>
  </sheetPr>
  <dimension ref="A1:S142"/>
  <sheetViews>
    <sheetView showGridLines="0" workbookViewId="0">
      <pane xSplit="1" topLeftCell="B1" activePane="topRight" state="frozen"/>
      <selection pane="topRight" activeCell="H8" sqref="H8"/>
    </sheetView>
  </sheetViews>
  <sheetFormatPr defaultRowHeight="14.4" x14ac:dyDescent="0.3"/>
  <cols>
    <col min="1" max="1" width="15.5546875" style="1" customWidth="1"/>
    <col min="2" max="2" width="5.44140625" style="1" customWidth="1"/>
    <col min="3" max="3" width="16" style="1" bestFit="1" customWidth="1"/>
    <col min="4" max="4" width="23.33203125" style="1" bestFit="1" customWidth="1"/>
    <col min="5" max="5" width="13.6640625" style="1" bestFit="1" customWidth="1"/>
    <col min="6" max="6" width="9.77734375" style="1" customWidth="1"/>
    <col min="7" max="7" width="13.33203125" style="1" bestFit="1" customWidth="1"/>
    <col min="8" max="8" width="18.5546875" style="1" bestFit="1" customWidth="1"/>
    <col min="9" max="10" width="16" style="1" bestFit="1" customWidth="1"/>
    <col min="11" max="11" width="18.5546875" style="1" bestFit="1" customWidth="1"/>
    <col min="12" max="12" width="5.5546875" style="1" bestFit="1" customWidth="1"/>
    <col min="13" max="13" width="16.44140625" style="1" customWidth="1"/>
    <col min="14" max="14" width="16" style="1" bestFit="1" customWidth="1"/>
    <col min="15" max="15" width="18.33203125" style="1" bestFit="1" customWidth="1"/>
    <col min="16" max="16" width="18.5546875" style="1" bestFit="1" customWidth="1"/>
    <col min="17" max="17" width="22.6640625" style="1" bestFit="1" customWidth="1"/>
    <col min="18" max="18" width="18.21875" style="1" bestFit="1" customWidth="1"/>
    <col min="19" max="21" width="5.5546875" style="1" bestFit="1" customWidth="1"/>
    <col min="22" max="22" width="18.21875" style="1" bestFit="1" customWidth="1"/>
    <col min="23" max="23" width="18" style="1" bestFit="1" customWidth="1"/>
    <col min="24" max="16384" width="8.88671875" style="1"/>
  </cols>
  <sheetData>
    <row r="1" spans="1:19" x14ac:dyDescent="0.3">
      <c r="B1" s="1">
        <v>1</v>
      </c>
    </row>
    <row r="2" spans="1:19" ht="23.4" x14ac:dyDescent="0.45">
      <c r="A2" s="3"/>
      <c r="B2" s="3"/>
      <c r="C2" s="3"/>
    </row>
    <row r="3" spans="1:19" ht="23.4" x14ac:dyDescent="0.45">
      <c r="E3" s="3"/>
      <c r="F3" s="3"/>
      <c r="G3" s="3"/>
      <c r="I3" s="3"/>
      <c r="J3" s="3"/>
    </row>
    <row r="4" spans="1:19" ht="23.4" x14ac:dyDescent="0.45">
      <c r="I4" s="4"/>
      <c r="J4" s="3"/>
      <c r="K4" s="19"/>
      <c r="L4" s="19"/>
      <c r="O4" s="19"/>
      <c r="P4" s="19"/>
      <c r="R4" s="19"/>
      <c r="S4" s="19"/>
    </row>
    <row r="9" spans="1:19" x14ac:dyDescent="0.3">
      <c r="G9" s="10"/>
      <c r="J9" s="5"/>
    </row>
    <row r="10" spans="1:19" x14ac:dyDescent="0.3">
      <c r="G10" s="10"/>
      <c r="J10" s="5"/>
    </row>
    <row r="12" spans="1:19" x14ac:dyDescent="0.3">
      <c r="C12" s="6" t="s">
        <v>281</v>
      </c>
      <c r="G12" s="9" t="s">
        <v>274</v>
      </c>
      <c r="K12" s="7" t="s">
        <v>275</v>
      </c>
      <c r="N12" s="14" t="s">
        <v>0</v>
      </c>
      <c r="O12" s="7" t="s">
        <v>276</v>
      </c>
    </row>
    <row r="13" spans="1:19" x14ac:dyDescent="0.3">
      <c r="C13" s="7">
        <v>1163380.4054399999</v>
      </c>
      <c r="G13" s="9">
        <v>118</v>
      </c>
      <c r="K13" s="7">
        <v>10403.714537627118</v>
      </c>
      <c r="N13" s="11" t="s">
        <v>29</v>
      </c>
      <c r="O13" s="11">
        <v>0.42372881355932202</v>
      </c>
    </row>
    <row r="14" spans="1:19" x14ac:dyDescent="0.3">
      <c r="N14" s="7" t="s">
        <v>173</v>
      </c>
      <c r="O14" s="11">
        <v>3.3898305084745763E-2</v>
      </c>
    </row>
    <row r="15" spans="1:19" x14ac:dyDescent="0.3">
      <c r="H15" s="10"/>
      <c r="N15" s="7" t="s">
        <v>49</v>
      </c>
      <c r="O15" s="11">
        <v>0.38135593220338981</v>
      </c>
    </row>
    <row r="16" spans="1:19" x14ac:dyDescent="0.3">
      <c r="H16" s="10"/>
      <c r="N16" s="7" t="s">
        <v>42</v>
      </c>
      <c r="O16" s="11">
        <v>0.16101694915254236</v>
      </c>
    </row>
    <row r="17" spans="3:15" x14ac:dyDescent="0.3">
      <c r="N17" s="7" t="s">
        <v>1</v>
      </c>
      <c r="O17" s="11">
        <v>1</v>
      </c>
    </row>
    <row r="22" spans="3:15" x14ac:dyDescent="0.3">
      <c r="C22" s="13" t="s">
        <v>0</v>
      </c>
      <c r="D22" s="7" t="s">
        <v>281</v>
      </c>
      <c r="G22" s="13" t="s">
        <v>0</v>
      </c>
      <c r="H22" s="7" t="s">
        <v>281</v>
      </c>
      <c r="J22" s="13" t="s">
        <v>0</v>
      </c>
      <c r="K22" s="7" t="s">
        <v>281</v>
      </c>
    </row>
    <row r="23" spans="3:15" x14ac:dyDescent="0.3">
      <c r="C23" s="7" t="s">
        <v>22</v>
      </c>
      <c r="D23" s="7">
        <v>788035.40544</v>
      </c>
      <c r="G23" s="7" t="s">
        <v>33</v>
      </c>
      <c r="H23" s="7">
        <v>587622</v>
      </c>
      <c r="J23" s="7" t="s">
        <v>53</v>
      </c>
      <c r="K23" s="17">
        <v>749620</v>
      </c>
    </row>
    <row r="24" spans="3:15" x14ac:dyDescent="0.3">
      <c r="C24" s="7" t="s">
        <v>69</v>
      </c>
      <c r="D24" s="7">
        <v>219235</v>
      </c>
      <c r="G24" s="7" t="s">
        <v>24</v>
      </c>
      <c r="H24" s="7">
        <v>375957</v>
      </c>
      <c r="J24" s="7" t="s">
        <v>120</v>
      </c>
      <c r="K24" s="17">
        <v>246484.5</v>
      </c>
    </row>
    <row r="25" spans="3:15" x14ac:dyDescent="0.3">
      <c r="C25" s="7" t="s">
        <v>46</v>
      </c>
      <c r="D25" s="7">
        <v>115510</v>
      </c>
      <c r="G25" s="7" t="s">
        <v>50</v>
      </c>
      <c r="H25" s="7">
        <v>82208</v>
      </c>
      <c r="J25" s="7" t="s">
        <v>104</v>
      </c>
      <c r="K25" s="17">
        <v>62150.905440000002</v>
      </c>
      <c r="N25" s="13" t="s">
        <v>0</v>
      </c>
      <c r="O25" s="7" t="s">
        <v>284</v>
      </c>
    </row>
    <row r="26" spans="3:15" x14ac:dyDescent="0.3">
      <c r="C26" s="7" t="s">
        <v>64</v>
      </c>
      <c r="D26" s="7">
        <v>22000</v>
      </c>
      <c r="G26" s="7" t="s">
        <v>164</v>
      </c>
      <c r="H26" s="7">
        <v>27572.405440000002</v>
      </c>
      <c r="J26" s="7" t="s">
        <v>32</v>
      </c>
      <c r="K26" s="17">
        <v>39857</v>
      </c>
      <c r="N26" s="7" t="s">
        <v>21</v>
      </c>
      <c r="O26" s="9">
        <v>78</v>
      </c>
    </row>
    <row r="27" spans="3:15" x14ac:dyDescent="0.3">
      <c r="C27" s="7" t="s">
        <v>87</v>
      </c>
      <c r="D27" s="7">
        <v>18600</v>
      </c>
      <c r="G27" s="7" t="s">
        <v>182</v>
      </c>
      <c r="H27" s="7">
        <v>25798</v>
      </c>
      <c r="J27" s="7" t="s">
        <v>99</v>
      </c>
      <c r="K27" s="17">
        <v>32628</v>
      </c>
      <c r="N27" s="7" t="s">
        <v>235</v>
      </c>
      <c r="O27" s="9">
        <v>2</v>
      </c>
    </row>
    <row r="28" spans="3:15" x14ac:dyDescent="0.3">
      <c r="C28" s="7" t="s">
        <v>1</v>
      </c>
      <c r="D28" s="7">
        <v>1163380.4054399999</v>
      </c>
      <c r="G28" s="7" t="s">
        <v>131</v>
      </c>
      <c r="H28" s="7">
        <v>25244</v>
      </c>
      <c r="J28" s="7" t="s">
        <v>45</v>
      </c>
      <c r="K28" s="17">
        <v>19641</v>
      </c>
      <c r="N28" s="7" t="s">
        <v>233</v>
      </c>
      <c r="O28" s="9">
        <v>1</v>
      </c>
    </row>
    <row r="29" spans="3:15" x14ac:dyDescent="0.3">
      <c r="G29" s="7" t="s">
        <v>39</v>
      </c>
      <c r="H29" s="7">
        <v>18316</v>
      </c>
      <c r="J29" s="7" t="s">
        <v>150</v>
      </c>
      <c r="K29" s="17">
        <v>12999</v>
      </c>
      <c r="N29" s="7" t="s">
        <v>58</v>
      </c>
      <c r="O29" s="9">
        <v>2</v>
      </c>
    </row>
    <row r="30" spans="3:15" x14ac:dyDescent="0.3">
      <c r="G30" s="7" t="s">
        <v>118</v>
      </c>
      <c r="H30" s="7">
        <v>15528</v>
      </c>
      <c r="J30" s="7" t="s">
        <v>37</v>
      </c>
      <c r="K30" s="17">
        <v>0</v>
      </c>
      <c r="N30" s="7" t="s">
        <v>95</v>
      </c>
      <c r="O30" s="9">
        <v>13</v>
      </c>
    </row>
    <row r="31" spans="3:15" x14ac:dyDescent="0.3">
      <c r="C31" s="10"/>
      <c r="D31" s="10"/>
      <c r="G31" s="7" t="s">
        <v>273</v>
      </c>
      <c r="H31" s="7">
        <v>5135</v>
      </c>
      <c r="J31" s="7" t="s">
        <v>1</v>
      </c>
      <c r="K31" s="17">
        <v>1163380.4054399999</v>
      </c>
      <c r="N31" s="12" t="s">
        <v>234</v>
      </c>
      <c r="O31" s="9">
        <v>8</v>
      </c>
    </row>
    <row r="32" spans="3:15" x14ac:dyDescent="0.3">
      <c r="C32" s="10"/>
      <c r="D32" s="10"/>
      <c r="G32" s="7" t="s">
        <v>1</v>
      </c>
      <c r="H32" s="7">
        <v>1163380.4054399999</v>
      </c>
      <c r="N32" s="7" t="s">
        <v>232</v>
      </c>
      <c r="O32" s="9">
        <v>11</v>
      </c>
    </row>
    <row r="33" spans="3:18" x14ac:dyDescent="0.3">
      <c r="C33" s="10"/>
      <c r="D33" s="10"/>
      <c r="N33" s="7" t="s">
        <v>104</v>
      </c>
      <c r="O33" s="9">
        <v>3</v>
      </c>
    </row>
    <row r="34" spans="3:18" x14ac:dyDescent="0.3">
      <c r="D34" s="10"/>
      <c r="N34" s="7" t="s">
        <v>1</v>
      </c>
      <c r="O34" s="9">
        <v>118</v>
      </c>
    </row>
    <row r="35" spans="3:18" x14ac:dyDescent="0.3">
      <c r="C35" s="13" t="s">
        <v>0</v>
      </c>
      <c r="D35" s="7" t="s">
        <v>285</v>
      </c>
    </row>
    <row r="36" spans="3:18" x14ac:dyDescent="0.3">
      <c r="C36" s="7" t="s">
        <v>237</v>
      </c>
      <c r="D36" s="9">
        <v>72</v>
      </c>
    </row>
    <row r="37" spans="3:18" x14ac:dyDescent="0.3">
      <c r="C37" s="7" t="s">
        <v>278</v>
      </c>
      <c r="D37" s="9">
        <v>4</v>
      </c>
    </row>
    <row r="38" spans="3:18" x14ac:dyDescent="0.3">
      <c r="C38" s="7" t="s">
        <v>1</v>
      </c>
      <c r="D38" s="9">
        <v>76</v>
      </c>
      <c r="N38" s="7" t="s">
        <v>291</v>
      </c>
      <c r="O38" s="7" t="s">
        <v>284</v>
      </c>
      <c r="P38" s="7" t="s">
        <v>281</v>
      </c>
      <c r="Q38" s="7" t="s">
        <v>288</v>
      </c>
      <c r="R38" s="7" t="s">
        <v>289</v>
      </c>
    </row>
    <row r="39" spans="3:18" x14ac:dyDescent="0.3">
      <c r="N39" s="9">
        <v>137</v>
      </c>
      <c r="O39" s="9">
        <v>118</v>
      </c>
      <c r="P39" s="7">
        <v>1163380.4054399999</v>
      </c>
      <c r="Q39" s="9">
        <v>19</v>
      </c>
      <c r="R39" s="7">
        <v>218528.91</v>
      </c>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sheetData>
  <mergeCells count="3">
    <mergeCell ref="R4:S4"/>
    <mergeCell ref="K4:L4"/>
    <mergeCell ref="O4:P4"/>
  </mergeCells>
  <pageMargins left="0.7" right="0.7" top="0.75" bottom="0.75" header="0.3" footer="0.3"/>
  <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FCBF0-5A57-4775-AAA4-55CD9C586430}">
  <sheetPr codeName="Sheet3">
    <tabColor rgb="FF00B050"/>
  </sheetPr>
  <dimension ref="B1:AD119"/>
  <sheetViews>
    <sheetView showRowColHeaders="0" workbookViewId="0">
      <pane xSplit="1" topLeftCell="R1" activePane="topRight" state="frozen"/>
      <selection pane="topRight"/>
    </sheetView>
  </sheetViews>
  <sheetFormatPr defaultRowHeight="14.4" x14ac:dyDescent="0.3"/>
  <cols>
    <col min="1" max="1" width="17.5546875" style="1" customWidth="1"/>
    <col min="2" max="2" width="4" style="1" bestFit="1" customWidth="1"/>
    <col min="3" max="3" width="10" style="1" bestFit="1" customWidth="1"/>
    <col min="4" max="4" width="8" style="1" bestFit="1" customWidth="1"/>
    <col min="5" max="5" width="13.5546875" style="1" bestFit="1" customWidth="1"/>
    <col min="6" max="6" width="5.44140625" style="1" bestFit="1" customWidth="1"/>
    <col min="7" max="7" width="2" style="1" bestFit="1" customWidth="1"/>
    <col min="8" max="8" width="28.44140625" style="1" bestFit="1" customWidth="1"/>
    <col min="9" max="9" width="9.109375" style="1" bestFit="1" customWidth="1"/>
    <col min="10" max="10" width="7.77734375" style="1" bestFit="1" customWidth="1"/>
    <col min="11" max="11" width="5.33203125" style="1" bestFit="1" customWidth="1"/>
    <col min="12" max="12" width="8.5546875" style="1" bestFit="1" customWidth="1"/>
    <col min="13" max="13" width="5.88671875" style="1" bestFit="1" customWidth="1"/>
    <col min="14" max="14" width="34.77734375" style="1" bestFit="1" customWidth="1"/>
    <col min="15" max="16" width="34.77734375" style="1" customWidth="1"/>
    <col min="17" max="18" width="14.5546875" style="1" customWidth="1"/>
    <col min="19" max="20" width="15.5546875" style="1" customWidth="1"/>
    <col min="21" max="21" width="13.5546875" style="1" customWidth="1"/>
    <col min="22" max="22" width="10.77734375" style="1" bestFit="1" customWidth="1"/>
    <col min="23" max="25" width="14.33203125" style="16" bestFit="1" customWidth="1"/>
    <col min="26" max="26" width="9.33203125" style="1" bestFit="1" customWidth="1"/>
    <col min="27" max="28" width="8.21875" style="1" bestFit="1" customWidth="1"/>
    <col min="29" max="29" width="15.88671875" style="1" customWidth="1"/>
    <col min="30" max="30" width="13.88671875" style="1" bestFit="1" customWidth="1"/>
    <col min="31" max="16384" width="8.88671875" style="1"/>
  </cols>
  <sheetData>
    <row r="1" spans="2:30" x14ac:dyDescent="0.3">
      <c r="B1" s="6" t="s">
        <v>293</v>
      </c>
      <c r="C1" s="6" t="s">
        <v>3</v>
      </c>
      <c r="D1" s="6" t="s">
        <v>4</v>
      </c>
      <c r="E1" s="6" t="s">
        <v>238</v>
      </c>
      <c r="F1" s="6" t="s">
        <v>277</v>
      </c>
      <c r="G1" s="6" t="s">
        <v>279</v>
      </c>
      <c r="H1" s="6" t="s">
        <v>5</v>
      </c>
      <c r="I1" s="6" t="s">
        <v>236</v>
      </c>
      <c r="J1" s="6" t="s">
        <v>6</v>
      </c>
      <c r="K1" s="6" t="s">
        <v>7</v>
      </c>
      <c r="L1" s="6" t="s">
        <v>8</v>
      </c>
      <c r="M1" s="6" t="s">
        <v>9</v>
      </c>
      <c r="N1" s="6" t="s">
        <v>10</v>
      </c>
      <c r="O1" s="6" t="s">
        <v>287</v>
      </c>
      <c r="P1" s="6" t="s">
        <v>286</v>
      </c>
      <c r="Q1" s="6" t="s">
        <v>282</v>
      </c>
      <c r="R1" s="6" t="s">
        <v>283</v>
      </c>
      <c r="S1" s="6" t="s">
        <v>280</v>
      </c>
      <c r="T1" s="6" t="s">
        <v>292</v>
      </c>
      <c r="U1" s="6" t="s">
        <v>11</v>
      </c>
      <c r="V1" s="6" t="s">
        <v>12</v>
      </c>
      <c r="W1" s="15" t="s">
        <v>13</v>
      </c>
      <c r="X1" s="15" t="s">
        <v>14</v>
      </c>
      <c r="Y1" s="15" t="s">
        <v>15</v>
      </c>
      <c r="Z1" s="6" t="s">
        <v>16</v>
      </c>
      <c r="AA1" s="6" t="s">
        <v>17</v>
      </c>
      <c r="AB1" s="6" t="s">
        <v>18</v>
      </c>
      <c r="AC1" s="6" t="s">
        <v>290</v>
      </c>
      <c r="AD1" s="6" t="s">
        <v>19</v>
      </c>
    </row>
    <row r="2" spans="2:30" x14ac:dyDescent="0.3">
      <c r="B2" s="6">
        <v>1</v>
      </c>
      <c r="C2" s="6">
        <v>1</v>
      </c>
      <c r="D2" s="6">
        <v>11</v>
      </c>
      <c r="E2" s="8" t="s">
        <v>239</v>
      </c>
      <c r="F2" s="8" t="s">
        <v>237</v>
      </c>
      <c r="G2" s="6">
        <v>1</v>
      </c>
      <c r="H2" s="8" t="s">
        <v>20</v>
      </c>
      <c r="I2" s="8" t="s">
        <v>21</v>
      </c>
      <c r="J2" s="8" t="s">
        <v>120</v>
      </c>
      <c r="K2" s="8" t="s">
        <v>22</v>
      </c>
      <c r="L2" s="8" t="s">
        <v>23</v>
      </c>
      <c r="M2" s="8" t="s">
        <v>24</v>
      </c>
      <c r="N2" s="8" t="s">
        <v>25</v>
      </c>
      <c r="O2" s="8">
        <v>0</v>
      </c>
      <c r="P2" s="8">
        <v>0</v>
      </c>
      <c r="Q2" s="6">
        <v>1</v>
      </c>
      <c r="R2" s="6">
        <v>1</v>
      </c>
      <c r="S2" s="6">
        <v>10160</v>
      </c>
      <c r="T2" s="6">
        <f>Data_1[[#This Row],[سعر البيع ]]*Data_1[[#This Row],[جميع الكميات]]</f>
        <v>10160</v>
      </c>
      <c r="U2" s="6">
        <v>10160</v>
      </c>
      <c r="V2" s="8" t="s">
        <v>26</v>
      </c>
      <c r="W2" s="15">
        <v>45500</v>
      </c>
      <c r="X2" s="15">
        <v>45511</v>
      </c>
      <c r="Y2" s="15">
        <v>45514</v>
      </c>
      <c r="Z2" s="8" t="s">
        <v>27</v>
      </c>
      <c r="AA2" s="8" t="s">
        <v>28</v>
      </c>
      <c r="AB2" s="6">
        <v>-3</v>
      </c>
      <c r="AC2" s="6" t="str">
        <f>TEXT(Data_1[[#This Row],[ميعاد الطلب]],"MMMM")</f>
        <v>July</v>
      </c>
      <c r="AD2" s="8" t="s">
        <v>29</v>
      </c>
    </row>
    <row r="3" spans="2:30" x14ac:dyDescent="0.3">
      <c r="B3" s="6">
        <v>2</v>
      </c>
      <c r="C3" s="6">
        <v>2</v>
      </c>
      <c r="D3" s="6">
        <v>22</v>
      </c>
      <c r="E3" s="8" t="s">
        <v>30</v>
      </c>
      <c r="F3" s="8" t="s">
        <v>237</v>
      </c>
      <c r="G3" s="6">
        <v>1</v>
      </c>
      <c r="H3" s="8" t="s">
        <v>31</v>
      </c>
      <c r="I3" s="8" t="s">
        <v>21</v>
      </c>
      <c r="J3" s="8" t="s">
        <v>32</v>
      </c>
      <c r="K3" s="8" t="s">
        <v>22</v>
      </c>
      <c r="L3" s="8" t="s">
        <v>23</v>
      </c>
      <c r="M3" s="8" t="s">
        <v>33</v>
      </c>
      <c r="N3" s="8" t="s">
        <v>34</v>
      </c>
      <c r="O3" s="8">
        <v>0</v>
      </c>
      <c r="P3" s="8">
        <v>0</v>
      </c>
      <c r="Q3" s="6">
        <v>1</v>
      </c>
      <c r="R3" s="6">
        <v>1</v>
      </c>
      <c r="S3" s="6">
        <v>10160</v>
      </c>
      <c r="T3" s="6">
        <f>Data_1[[#This Row],[سعر البيع ]]*Data_1[[#This Row],[جميع الكميات]]</f>
        <v>10160</v>
      </c>
      <c r="U3" s="6">
        <v>10160</v>
      </c>
      <c r="V3" s="8" t="s">
        <v>26</v>
      </c>
      <c r="W3" s="15">
        <v>45501</v>
      </c>
      <c r="X3" s="15">
        <v>45511</v>
      </c>
      <c r="Y3" s="15">
        <v>45515</v>
      </c>
      <c r="Z3" s="8" t="s">
        <v>27</v>
      </c>
      <c r="AA3" s="8" t="s">
        <v>28</v>
      </c>
      <c r="AB3" s="6">
        <v>-4</v>
      </c>
      <c r="AC3" s="6" t="str">
        <f>TEXT(Data_1[[#This Row],[ميعاد الطلب]],"MMMM")</f>
        <v>July</v>
      </c>
      <c r="AD3" s="8" t="s">
        <v>29</v>
      </c>
    </row>
    <row r="4" spans="2:30" x14ac:dyDescent="0.3">
      <c r="B4" s="6">
        <v>3</v>
      </c>
      <c r="C4" s="6">
        <v>3</v>
      </c>
      <c r="D4" s="6">
        <v>33</v>
      </c>
      <c r="E4" s="8" t="s">
        <v>35</v>
      </c>
      <c r="F4" s="8" t="s">
        <v>237</v>
      </c>
      <c r="G4" s="6">
        <v>1</v>
      </c>
      <c r="H4" s="8" t="s">
        <v>36</v>
      </c>
      <c r="I4" s="8" t="s">
        <v>21</v>
      </c>
      <c r="J4" s="8" t="s">
        <v>37</v>
      </c>
      <c r="K4" s="8" t="s">
        <v>22</v>
      </c>
      <c r="L4" s="8" t="s">
        <v>38</v>
      </c>
      <c r="M4" s="8" t="s">
        <v>39</v>
      </c>
      <c r="N4" s="8" t="s">
        <v>40</v>
      </c>
      <c r="O4" s="8">
        <v>1</v>
      </c>
      <c r="P4" s="8">
        <v>11455</v>
      </c>
      <c r="Q4" s="6">
        <v>1</v>
      </c>
      <c r="R4" s="6">
        <v>0</v>
      </c>
      <c r="S4" s="6">
        <v>0</v>
      </c>
      <c r="T4" s="6">
        <f>Data_1[[#This Row],[سعر البيع ]]*Data_1[[#This Row],[جميع الكميات]]</f>
        <v>11455</v>
      </c>
      <c r="U4" s="6">
        <v>11455</v>
      </c>
      <c r="V4" s="8" t="s">
        <v>26</v>
      </c>
      <c r="W4" s="15">
        <v>45500</v>
      </c>
      <c r="X4" s="15"/>
      <c r="Y4" s="15"/>
      <c r="Z4" s="8" t="s">
        <v>41</v>
      </c>
      <c r="AA4" s="8" t="s">
        <v>42</v>
      </c>
      <c r="AB4" s="6" t="s">
        <v>42</v>
      </c>
      <c r="AC4" s="6" t="str">
        <f>TEXT(Data_1[[#This Row],[ميعاد الطلب]],"MMMM")</f>
        <v>July</v>
      </c>
      <c r="AD4" s="8" t="s">
        <v>42</v>
      </c>
    </row>
    <row r="5" spans="2:30" x14ac:dyDescent="0.3">
      <c r="B5" s="6">
        <v>4</v>
      </c>
      <c r="C5" s="6">
        <v>4</v>
      </c>
      <c r="D5" s="6">
        <v>44</v>
      </c>
      <c r="E5" s="8" t="s">
        <v>43</v>
      </c>
      <c r="F5" s="8" t="s">
        <v>237</v>
      </c>
      <c r="G5" s="6">
        <v>1</v>
      </c>
      <c r="H5" s="8" t="s">
        <v>44</v>
      </c>
      <c r="I5" s="8" t="s">
        <v>21</v>
      </c>
      <c r="J5" s="8" t="s">
        <v>45</v>
      </c>
      <c r="K5" s="8" t="s">
        <v>46</v>
      </c>
      <c r="L5" s="8" t="s">
        <v>47</v>
      </c>
      <c r="M5" s="8" t="s">
        <v>33</v>
      </c>
      <c r="N5" s="8" t="s">
        <v>48</v>
      </c>
      <c r="O5" s="8">
        <v>0</v>
      </c>
      <c r="P5" s="8">
        <v>0</v>
      </c>
      <c r="Q5" s="6">
        <v>1</v>
      </c>
      <c r="R5" s="6">
        <v>1</v>
      </c>
      <c r="S5" s="6">
        <v>8642</v>
      </c>
      <c r="T5" s="6">
        <f>Data_1[[#This Row],[سعر البيع ]]*Data_1[[#This Row],[جميع الكميات]]</f>
        <v>8642</v>
      </c>
      <c r="U5" s="6">
        <v>8642</v>
      </c>
      <c r="V5" s="8" t="s">
        <v>26</v>
      </c>
      <c r="W5" s="15">
        <v>45529</v>
      </c>
      <c r="X5" s="15">
        <v>45542</v>
      </c>
      <c r="Y5" s="15">
        <v>45531</v>
      </c>
      <c r="Z5" s="8" t="s">
        <v>27</v>
      </c>
      <c r="AA5" s="8" t="s">
        <v>28</v>
      </c>
      <c r="AB5" s="6">
        <v>11</v>
      </c>
      <c r="AC5" s="6" t="str">
        <f>TEXT(Data_1[[#This Row],[ميعاد الطلب]],"MMMM")</f>
        <v>August</v>
      </c>
      <c r="AD5" s="8" t="s">
        <v>49</v>
      </c>
    </row>
    <row r="6" spans="2:30" x14ac:dyDescent="0.3">
      <c r="B6" s="6">
        <v>5</v>
      </c>
      <c r="C6" s="6">
        <v>5</v>
      </c>
      <c r="D6" s="6">
        <v>55</v>
      </c>
      <c r="E6" s="8" t="s">
        <v>240</v>
      </c>
      <c r="F6" s="8" t="s">
        <v>237</v>
      </c>
      <c r="G6" s="6">
        <v>1</v>
      </c>
      <c r="H6" s="8" t="s">
        <v>36</v>
      </c>
      <c r="I6" s="8" t="s">
        <v>21</v>
      </c>
      <c r="J6" s="8" t="s">
        <v>37</v>
      </c>
      <c r="K6" s="8" t="s">
        <v>22</v>
      </c>
      <c r="L6" s="8" t="s">
        <v>38</v>
      </c>
      <c r="M6" s="8" t="s">
        <v>50</v>
      </c>
      <c r="N6" s="8" t="s">
        <v>51</v>
      </c>
      <c r="O6" s="8">
        <v>1</v>
      </c>
      <c r="P6" s="8">
        <v>12833</v>
      </c>
      <c r="Q6" s="6">
        <v>1</v>
      </c>
      <c r="R6" s="6">
        <v>0</v>
      </c>
      <c r="S6" s="6">
        <v>0</v>
      </c>
      <c r="T6" s="6">
        <f>Data_1[[#This Row],[سعر البيع ]]*Data_1[[#This Row],[جميع الكميات]]</f>
        <v>12833</v>
      </c>
      <c r="U6" s="6">
        <v>12833</v>
      </c>
      <c r="V6" s="8" t="s">
        <v>26</v>
      </c>
      <c r="W6" s="15">
        <v>45520</v>
      </c>
      <c r="X6" s="15">
        <v>45535</v>
      </c>
      <c r="Y6" s="15"/>
      <c r="Z6" s="8" t="s">
        <v>41</v>
      </c>
      <c r="AA6" s="8" t="s">
        <v>42</v>
      </c>
      <c r="AB6" s="6" t="s">
        <v>42</v>
      </c>
      <c r="AC6" s="6" t="str">
        <f>TEXT(Data_1[[#This Row],[ميعاد الطلب]],"MMMM")</f>
        <v>August</v>
      </c>
      <c r="AD6" s="8" t="s">
        <v>42</v>
      </c>
    </row>
    <row r="7" spans="2:30" x14ac:dyDescent="0.3">
      <c r="B7" s="6">
        <v>6</v>
      </c>
      <c r="C7" s="6">
        <v>6</v>
      </c>
      <c r="D7" s="6">
        <v>66</v>
      </c>
      <c r="E7" s="8" t="s">
        <v>95</v>
      </c>
      <c r="F7" s="8" t="s">
        <v>278</v>
      </c>
      <c r="G7" s="6">
        <v>1</v>
      </c>
      <c r="H7" s="8" t="s">
        <v>52</v>
      </c>
      <c r="I7" s="8" t="s">
        <v>95</v>
      </c>
      <c r="J7" s="8" t="s">
        <v>53</v>
      </c>
      <c r="K7" s="8" t="s">
        <v>69</v>
      </c>
      <c r="L7" s="8" t="s">
        <v>54</v>
      </c>
      <c r="M7" s="8" t="s">
        <v>50</v>
      </c>
      <c r="N7" s="8" t="s">
        <v>55</v>
      </c>
      <c r="O7" s="8">
        <v>0</v>
      </c>
      <c r="P7" s="8">
        <v>0</v>
      </c>
      <c r="Q7" s="6">
        <v>1</v>
      </c>
      <c r="R7" s="6">
        <v>1</v>
      </c>
      <c r="S7" s="6">
        <v>14550</v>
      </c>
      <c r="T7" s="6">
        <f>Data_1[[#This Row],[سعر البيع ]]*Data_1[[#This Row],[جميع الكميات]]</f>
        <v>14550</v>
      </c>
      <c r="U7" s="6">
        <v>14550</v>
      </c>
      <c r="V7" s="8" t="s">
        <v>56</v>
      </c>
      <c r="W7" s="15">
        <v>45518</v>
      </c>
      <c r="X7" s="15">
        <v>45538</v>
      </c>
      <c r="Y7" s="15">
        <v>45540</v>
      </c>
      <c r="Z7" s="8" t="s">
        <v>27</v>
      </c>
      <c r="AA7" s="8" t="s">
        <v>28</v>
      </c>
      <c r="AB7" s="6">
        <v>-2</v>
      </c>
      <c r="AC7" s="6" t="str">
        <f>TEXT(Data_1[[#This Row],[ميعاد الطلب]],"MMMM")</f>
        <v>August</v>
      </c>
      <c r="AD7" s="8" t="s">
        <v>29</v>
      </c>
    </row>
    <row r="8" spans="2:30" x14ac:dyDescent="0.3">
      <c r="B8" s="6">
        <v>7</v>
      </c>
      <c r="C8" s="6">
        <v>7</v>
      </c>
      <c r="D8" s="6">
        <v>77</v>
      </c>
      <c r="E8" s="8" t="s">
        <v>241</v>
      </c>
      <c r="F8" s="8" t="s">
        <v>237</v>
      </c>
      <c r="G8" s="6">
        <v>1</v>
      </c>
      <c r="H8" s="8" t="s">
        <v>57</v>
      </c>
      <c r="I8" s="8" t="s">
        <v>58</v>
      </c>
      <c r="J8" s="8" t="s">
        <v>53</v>
      </c>
      <c r="K8" s="8" t="s">
        <v>69</v>
      </c>
      <c r="L8" s="8" t="s">
        <v>54</v>
      </c>
      <c r="M8" s="8" t="s">
        <v>50</v>
      </c>
      <c r="N8" s="8" t="s">
        <v>55</v>
      </c>
      <c r="O8" s="8">
        <v>0</v>
      </c>
      <c r="P8" s="8">
        <v>0</v>
      </c>
      <c r="Q8" s="6">
        <v>1</v>
      </c>
      <c r="R8" s="6">
        <v>1</v>
      </c>
      <c r="S8" s="6">
        <v>12000</v>
      </c>
      <c r="T8" s="6">
        <f>Data_1[[#This Row],[سعر البيع ]]*Data_1[[#This Row],[جميع الكميات]]</f>
        <v>12000</v>
      </c>
      <c r="U8" s="6">
        <v>12000</v>
      </c>
      <c r="V8" s="8" t="s">
        <v>26</v>
      </c>
      <c r="W8" s="15">
        <v>45521</v>
      </c>
      <c r="X8" s="15">
        <v>45524</v>
      </c>
      <c r="Y8" s="15">
        <v>45523</v>
      </c>
      <c r="Z8" s="8" t="s">
        <v>27</v>
      </c>
      <c r="AA8" s="8" t="s">
        <v>28</v>
      </c>
      <c r="AB8" s="6">
        <v>1</v>
      </c>
      <c r="AC8" s="6" t="str">
        <f>TEXT(Data_1[[#This Row],[ميعاد الطلب]],"MMMM")</f>
        <v>August</v>
      </c>
      <c r="AD8" s="8" t="s">
        <v>49</v>
      </c>
    </row>
    <row r="9" spans="2:30" x14ac:dyDescent="0.3">
      <c r="B9" s="6">
        <v>8</v>
      </c>
      <c r="C9" s="6">
        <v>8</v>
      </c>
      <c r="D9" s="6">
        <v>88</v>
      </c>
      <c r="E9" s="8" t="s">
        <v>59</v>
      </c>
      <c r="F9" s="8" t="s">
        <v>237</v>
      </c>
      <c r="G9" s="6">
        <v>1</v>
      </c>
      <c r="H9" s="8" t="s">
        <v>60</v>
      </c>
      <c r="I9" s="8" t="s">
        <v>21</v>
      </c>
      <c r="J9" s="8" t="s">
        <v>120</v>
      </c>
      <c r="K9" s="8" t="s">
        <v>22</v>
      </c>
      <c r="L9" s="8" t="s">
        <v>61</v>
      </c>
      <c r="M9" s="8" t="s">
        <v>24</v>
      </c>
      <c r="N9" s="8" t="s">
        <v>62</v>
      </c>
      <c r="O9" s="8">
        <v>0</v>
      </c>
      <c r="P9" s="8">
        <v>0</v>
      </c>
      <c r="Q9" s="6">
        <v>1</v>
      </c>
      <c r="R9" s="6">
        <v>1</v>
      </c>
      <c r="S9" s="6">
        <v>7228</v>
      </c>
      <c r="T9" s="6">
        <f>Data_1[[#This Row],[سعر البيع ]]*Data_1[[#This Row],[جميع الكميات]]</f>
        <v>7228</v>
      </c>
      <c r="U9" s="6">
        <v>7228</v>
      </c>
      <c r="V9" s="8" t="s">
        <v>26</v>
      </c>
      <c r="W9" s="15">
        <v>45529</v>
      </c>
      <c r="X9" s="15">
        <v>45538</v>
      </c>
      <c r="Y9" s="15">
        <v>45545</v>
      </c>
      <c r="Z9" s="8" t="s">
        <v>27</v>
      </c>
      <c r="AA9" s="8" t="s">
        <v>28</v>
      </c>
      <c r="AB9" s="6">
        <v>-7</v>
      </c>
      <c r="AC9" s="6" t="str">
        <f>TEXT(Data_1[[#This Row],[ميعاد الطلب]],"MMMM")</f>
        <v>August</v>
      </c>
      <c r="AD9" s="8" t="s">
        <v>29</v>
      </c>
    </row>
    <row r="10" spans="2:30" x14ac:dyDescent="0.3">
      <c r="B10" s="6">
        <v>9</v>
      </c>
      <c r="C10" s="6">
        <v>9</v>
      </c>
      <c r="D10" s="6">
        <v>99</v>
      </c>
      <c r="E10" s="8" t="s">
        <v>234</v>
      </c>
      <c r="F10" s="8" t="s">
        <v>278</v>
      </c>
      <c r="G10" s="6">
        <v>1</v>
      </c>
      <c r="H10" s="8" t="s">
        <v>63</v>
      </c>
      <c r="I10" s="8" t="s">
        <v>234</v>
      </c>
      <c r="J10" s="8" t="s">
        <v>53</v>
      </c>
      <c r="K10" s="8" t="s">
        <v>64</v>
      </c>
      <c r="L10" s="8" t="s">
        <v>65</v>
      </c>
      <c r="M10" s="8" t="s">
        <v>33</v>
      </c>
      <c r="N10" s="8" t="s">
        <v>66</v>
      </c>
      <c r="O10" s="8">
        <v>0</v>
      </c>
      <c r="P10" s="8">
        <v>0</v>
      </c>
      <c r="Q10" s="6">
        <v>1</v>
      </c>
      <c r="R10" s="6">
        <v>1</v>
      </c>
      <c r="S10" s="6">
        <v>22000</v>
      </c>
      <c r="T10" s="6">
        <f>Data_1[[#This Row],[سعر البيع ]]*Data_1[[#This Row],[جميع الكميات]]</f>
        <v>22000</v>
      </c>
      <c r="U10" s="6">
        <v>22000</v>
      </c>
      <c r="V10" s="8" t="s">
        <v>56</v>
      </c>
      <c r="W10" s="15">
        <v>45523</v>
      </c>
      <c r="X10" s="15">
        <v>45536</v>
      </c>
      <c r="Y10" s="15">
        <v>45552</v>
      </c>
      <c r="Z10" s="8" t="s">
        <v>67</v>
      </c>
      <c r="AA10" s="8" t="s">
        <v>28</v>
      </c>
      <c r="AB10" s="6">
        <v>-16</v>
      </c>
      <c r="AC10" s="6" t="str">
        <f>TEXT(Data_1[[#This Row],[ميعاد الطلب]],"MMMM")</f>
        <v>August</v>
      </c>
      <c r="AD10" s="8" t="s">
        <v>29</v>
      </c>
    </row>
    <row r="11" spans="2:30" x14ac:dyDescent="0.3">
      <c r="B11" s="6">
        <v>11</v>
      </c>
      <c r="C11" s="6">
        <v>12</v>
      </c>
      <c r="D11" s="6">
        <v>122</v>
      </c>
      <c r="E11" s="8" t="s">
        <v>234</v>
      </c>
      <c r="F11" s="8" t="s">
        <v>278</v>
      </c>
      <c r="G11" s="6">
        <v>0</v>
      </c>
      <c r="H11" s="8" t="s">
        <v>68</v>
      </c>
      <c r="I11" s="8" t="s">
        <v>234</v>
      </c>
      <c r="J11" s="8" t="s">
        <v>53</v>
      </c>
      <c r="K11" s="8" t="s">
        <v>69</v>
      </c>
      <c r="L11" s="8" t="s">
        <v>70</v>
      </c>
      <c r="M11" s="8" t="s">
        <v>33</v>
      </c>
      <c r="N11" s="8" t="s">
        <v>71</v>
      </c>
      <c r="O11" s="8">
        <v>0</v>
      </c>
      <c r="P11" s="8">
        <v>0</v>
      </c>
      <c r="Q11" s="6">
        <v>2</v>
      </c>
      <c r="R11" s="6">
        <v>2</v>
      </c>
      <c r="S11" s="6">
        <v>12000</v>
      </c>
      <c r="T11" s="6">
        <f>Data_1[[#This Row],[سعر البيع ]]*Data_1[[#This Row],[جميع الكميات]]</f>
        <v>12000</v>
      </c>
      <c r="U11" s="6">
        <v>6000</v>
      </c>
      <c r="V11" s="8" t="s">
        <v>56</v>
      </c>
      <c r="W11" s="15">
        <v>45529</v>
      </c>
      <c r="X11" s="15">
        <v>45550</v>
      </c>
      <c r="Y11" s="15">
        <v>45552</v>
      </c>
      <c r="Z11" s="8" t="s">
        <v>67</v>
      </c>
      <c r="AA11" s="8" t="s">
        <v>28</v>
      </c>
      <c r="AB11" s="6">
        <v>-2</v>
      </c>
      <c r="AC11" s="6" t="str">
        <f>TEXT(Data_1[[#This Row],[ميعاد الطلب]],"MMMM")</f>
        <v>August</v>
      </c>
      <c r="AD11" s="8" t="s">
        <v>29</v>
      </c>
    </row>
    <row r="12" spans="2:30" x14ac:dyDescent="0.3">
      <c r="B12" s="6">
        <v>12</v>
      </c>
      <c r="C12" s="6">
        <v>13</v>
      </c>
      <c r="D12" s="6">
        <v>133</v>
      </c>
      <c r="E12" s="8" t="s">
        <v>242</v>
      </c>
      <c r="F12" s="8" t="s">
        <v>237</v>
      </c>
      <c r="G12" s="6">
        <v>1</v>
      </c>
      <c r="H12" s="8" t="s">
        <v>72</v>
      </c>
      <c r="I12" s="8" t="s">
        <v>21</v>
      </c>
      <c r="J12" s="8" t="s">
        <v>53</v>
      </c>
      <c r="K12" s="8" t="s">
        <v>22</v>
      </c>
      <c r="L12" s="8" t="s">
        <v>38</v>
      </c>
      <c r="M12" s="8" t="s">
        <v>24</v>
      </c>
      <c r="N12" s="8" t="s">
        <v>73</v>
      </c>
      <c r="O12" s="8">
        <v>0</v>
      </c>
      <c r="P12" s="8">
        <v>0</v>
      </c>
      <c r="Q12" s="6">
        <v>1</v>
      </c>
      <c r="R12" s="6">
        <v>1</v>
      </c>
      <c r="S12" s="6">
        <v>10499</v>
      </c>
      <c r="T12" s="6">
        <f>Data_1[[#This Row],[سعر البيع ]]*Data_1[[#This Row],[جميع الكميات]]</f>
        <v>10499</v>
      </c>
      <c r="U12" s="6">
        <v>10499</v>
      </c>
      <c r="V12" s="8" t="s">
        <v>26</v>
      </c>
      <c r="W12" s="15">
        <v>45536</v>
      </c>
      <c r="X12" s="15">
        <v>45551</v>
      </c>
      <c r="Y12" s="15">
        <v>45543</v>
      </c>
      <c r="Z12" s="8" t="s">
        <v>27</v>
      </c>
      <c r="AA12" s="8" t="s">
        <v>28</v>
      </c>
      <c r="AB12" s="6">
        <v>8</v>
      </c>
      <c r="AC12" s="6" t="str">
        <f>TEXT(Data_1[[#This Row],[ميعاد الطلب]],"MMMM")</f>
        <v>September</v>
      </c>
      <c r="AD12" s="8" t="s">
        <v>49</v>
      </c>
    </row>
    <row r="13" spans="2:30" x14ac:dyDescent="0.3">
      <c r="B13" s="6">
        <v>13</v>
      </c>
      <c r="C13" s="6">
        <v>1404561</v>
      </c>
      <c r="D13" s="6">
        <v>1199284</v>
      </c>
      <c r="E13" s="8" t="s">
        <v>243</v>
      </c>
      <c r="F13" s="8" t="s">
        <v>237</v>
      </c>
      <c r="G13" s="6">
        <v>1</v>
      </c>
      <c r="H13" s="8" t="s">
        <v>74</v>
      </c>
      <c r="I13" s="8" t="s">
        <v>21</v>
      </c>
      <c r="J13" s="8" t="s">
        <v>120</v>
      </c>
      <c r="K13" s="8" t="s">
        <v>22</v>
      </c>
      <c r="L13" s="8" t="s">
        <v>61</v>
      </c>
      <c r="M13" s="8" t="s">
        <v>24</v>
      </c>
      <c r="N13" s="8" t="s">
        <v>75</v>
      </c>
      <c r="O13" s="8">
        <v>1</v>
      </c>
      <c r="P13" s="8">
        <v>7295</v>
      </c>
      <c r="Q13" s="6">
        <v>1</v>
      </c>
      <c r="R13" s="6">
        <v>0</v>
      </c>
      <c r="S13" s="6">
        <v>0</v>
      </c>
      <c r="T13" s="6">
        <f>Data_1[[#This Row],[سعر البيع ]]*Data_1[[#This Row],[جميع الكميات]]</f>
        <v>7295</v>
      </c>
      <c r="U13" s="6">
        <v>7295</v>
      </c>
      <c r="V13" s="8" t="s">
        <v>26</v>
      </c>
      <c r="W13" s="15">
        <v>45540</v>
      </c>
      <c r="X13" s="15">
        <v>45549</v>
      </c>
      <c r="Y13" s="15"/>
      <c r="Z13" s="8" t="s">
        <v>76</v>
      </c>
      <c r="AA13" s="8" t="s">
        <v>42</v>
      </c>
      <c r="AB13" s="6" t="s">
        <v>42</v>
      </c>
      <c r="AC13" s="6" t="str">
        <f>TEXT(Data_1[[#This Row],[ميعاد الطلب]],"MMMM")</f>
        <v>September</v>
      </c>
      <c r="AD13" s="8" t="s">
        <v>42</v>
      </c>
    </row>
    <row r="14" spans="2:30" x14ac:dyDescent="0.3">
      <c r="B14" s="6">
        <v>14</v>
      </c>
      <c r="C14" s="6">
        <v>1401137</v>
      </c>
      <c r="D14" s="6">
        <v>1197500</v>
      </c>
      <c r="E14" s="8" t="s">
        <v>244</v>
      </c>
      <c r="F14" s="8" t="s">
        <v>237</v>
      </c>
      <c r="G14" s="6">
        <v>1</v>
      </c>
      <c r="H14" s="8" t="s">
        <v>77</v>
      </c>
      <c r="I14" s="8" t="s">
        <v>21</v>
      </c>
      <c r="J14" s="8" t="s">
        <v>53</v>
      </c>
      <c r="K14" s="8" t="s">
        <v>46</v>
      </c>
      <c r="L14" s="8" t="s">
        <v>78</v>
      </c>
      <c r="M14" s="8" t="s">
        <v>33</v>
      </c>
      <c r="N14" s="8" t="s">
        <v>79</v>
      </c>
      <c r="O14" s="8">
        <v>1</v>
      </c>
      <c r="P14" s="8">
        <v>7849</v>
      </c>
      <c r="Q14" s="6">
        <v>1</v>
      </c>
      <c r="R14" s="6">
        <v>0</v>
      </c>
      <c r="S14" s="6">
        <v>0</v>
      </c>
      <c r="T14" s="6">
        <f>Data_1[[#This Row],[سعر البيع ]]*Data_1[[#This Row],[جميع الكميات]]</f>
        <v>7849</v>
      </c>
      <c r="U14" s="6">
        <v>7849</v>
      </c>
      <c r="V14" s="8" t="s">
        <v>26</v>
      </c>
      <c r="W14" s="15">
        <v>45539</v>
      </c>
      <c r="X14" s="15">
        <v>45551</v>
      </c>
      <c r="Y14" s="15">
        <v>45560</v>
      </c>
      <c r="Z14" s="8" t="s">
        <v>27</v>
      </c>
      <c r="AA14" s="8" t="s">
        <v>42</v>
      </c>
      <c r="AB14" s="6" t="s">
        <v>42</v>
      </c>
      <c r="AC14" s="6" t="str">
        <f>TEXT(Data_1[[#This Row],[ميعاد الطلب]],"MMMM")</f>
        <v>September</v>
      </c>
      <c r="AD14" s="8" t="s">
        <v>42</v>
      </c>
    </row>
    <row r="15" spans="2:30" x14ac:dyDescent="0.3">
      <c r="B15" s="6">
        <v>15</v>
      </c>
      <c r="C15" s="6">
        <v>15</v>
      </c>
      <c r="D15" s="6">
        <v>155</v>
      </c>
      <c r="E15" s="8" t="s">
        <v>245</v>
      </c>
      <c r="F15" s="8" t="s">
        <v>237</v>
      </c>
      <c r="G15" s="6">
        <v>1</v>
      </c>
      <c r="H15" s="8" t="s">
        <v>80</v>
      </c>
      <c r="I15" s="8" t="s">
        <v>232</v>
      </c>
      <c r="J15" s="8" t="s">
        <v>53</v>
      </c>
      <c r="K15" s="8" t="s">
        <v>22</v>
      </c>
      <c r="L15" s="8" t="s">
        <v>38</v>
      </c>
      <c r="M15" s="8" t="s">
        <v>33</v>
      </c>
      <c r="N15" s="8" t="s">
        <v>81</v>
      </c>
      <c r="O15" s="8">
        <v>0</v>
      </c>
      <c r="P15" s="8">
        <v>0</v>
      </c>
      <c r="Q15" s="6">
        <v>2</v>
      </c>
      <c r="R15" s="6">
        <v>2</v>
      </c>
      <c r="S15" s="6">
        <v>12360</v>
      </c>
      <c r="T15" s="6">
        <f>Data_1[[#This Row],[سعر البيع ]]*Data_1[[#This Row],[جميع الكميات]]</f>
        <v>12360</v>
      </c>
      <c r="U15" s="6">
        <v>6180</v>
      </c>
      <c r="V15" s="8" t="s">
        <v>26</v>
      </c>
      <c r="W15" s="15">
        <v>45538</v>
      </c>
      <c r="X15" s="15">
        <v>45551</v>
      </c>
      <c r="Y15" s="15">
        <v>45550</v>
      </c>
      <c r="Z15" s="8" t="s">
        <v>67</v>
      </c>
      <c r="AA15" s="8" t="s">
        <v>28</v>
      </c>
      <c r="AB15" s="6">
        <v>1</v>
      </c>
      <c r="AC15" s="6" t="str">
        <f>TEXT(Data_1[[#This Row],[ميعاد الطلب]],"MMMM")</f>
        <v>September</v>
      </c>
      <c r="AD15" s="8" t="s">
        <v>49</v>
      </c>
    </row>
    <row r="16" spans="2:30" x14ac:dyDescent="0.3">
      <c r="B16" s="6">
        <v>16</v>
      </c>
      <c r="C16" s="6">
        <v>1400149</v>
      </c>
      <c r="D16" s="6">
        <v>1196947</v>
      </c>
      <c r="E16" s="8" t="s">
        <v>82</v>
      </c>
      <c r="F16" s="8" t="s">
        <v>237</v>
      </c>
      <c r="G16" s="6">
        <v>1</v>
      </c>
      <c r="H16" s="8" t="s">
        <v>83</v>
      </c>
      <c r="I16" s="8" t="s">
        <v>21</v>
      </c>
      <c r="J16" s="8" t="s">
        <v>53</v>
      </c>
      <c r="K16" s="8" t="s">
        <v>22</v>
      </c>
      <c r="L16" s="8" t="s">
        <v>38</v>
      </c>
      <c r="M16" s="8" t="s">
        <v>24</v>
      </c>
      <c r="N16" s="8" t="s">
        <v>84</v>
      </c>
      <c r="O16" s="8">
        <v>1</v>
      </c>
      <c r="P16" s="8">
        <v>11199</v>
      </c>
      <c r="Q16" s="6">
        <v>1</v>
      </c>
      <c r="R16" s="6">
        <v>0</v>
      </c>
      <c r="S16" s="6">
        <v>0</v>
      </c>
      <c r="T16" s="6">
        <f>Data_1[[#This Row],[سعر البيع ]]*Data_1[[#This Row],[جميع الكميات]]</f>
        <v>11199</v>
      </c>
      <c r="U16" s="6">
        <v>11199</v>
      </c>
      <c r="V16" s="8" t="s">
        <v>26</v>
      </c>
      <c r="W16" s="15">
        <v>45539</v>
      </c>
      <c r="X16" s="15">
        <v>45553</v>
      </c>
      <c r="Y16" s="15"/>
      <c r="Z16" s="8" t="s">
        <v>76</v>
      </c>
      <c r="AA16" s="8" t="s">
        <v>42</v>
      </c>
      <c r="AB16" s="6" t="s">
        <v>42</v>
      </c>
      <c r="AC16" s="6" t="str">
        <f>TEXT(Data_1[[#This Row],[ميعاد الطلب]],"MMMM")</f>
        <v>September</v>
      </c>
      <c r="AD16" s="8" t="s">
        <v>42</v>
      </c>
    </row>
    <row r="17" spans="2:30" x14ac:dyDescent="0.3">
      <c r="B17" s="6">
        <v>17</v>
      </c>
      <c r="C17" s="6">
        <v>1408099</v>
      </c>
      <c r="D17" s="6">
        <v>1201057</v>
      </c>
      <c r="E17" s="8" t="s">
        <v>241</v>
      </c>
      <c r="F17" s="8" t="s">
        <v>237</v>
      </c>
      <c r="G17" s="6">
        <v>0</v>
      </c>
      <c r="H17" s="8" t="s">
        <v>85</v>
      </c>
      <c r="I17" s="8" t="s">
        <v>21</v>
      </c>
      <c r="J17" s="8" t="s">
        <v>53</v>
      </c>
      <c r="K17" s="8" t="s">
        <v>22</v>
      </c>
      <c r="L17" s="8" t="s">
        <v>61</v>
      </c>
      <c r="M17" s="8" t="s">
        <v>24</v>
      </c>
      <c r="N17" s="8" t="s">
        <v>86</v>
      </c>
      <c r="O17" s="8">
        <v>0</v>
      </c>
      <c r="P17" s="8">
        <v>0</v>
      </c>
      <c r="Q17" s="6">
        <v>4</v>
      </c>
      <c r="R17" s="6">
        <v>4</v>
      </c>
      <c r="S17" s="6">
        <v>31948</v>
      </c>
      <c r="T17" s="6">
        <f>Data_1[[#This Row],[سعر البيع ]]*Data_1[[#This Row],[جميع الكميات]]</f>
        <v>31948</v>
      </c>
      <c r="U17" s="6">
        <v>7987</v>
      </c>
      <c r="V17" s="8" t="s">
        <v>26</v>
      </c>
      <c r="W17" s="15">
        <v>45541</v>
      </c>
      <c r="X17" s="15">
        <v>45551</v>
      </c>
      <c r="Y17" s="15">
        <v>45556</v>
      </c>
      <c r="Z17" s="8" t="s">
        <v>67</v>
      </c>
      <c r="AA17" s="8" t="s">
        <v>28</v>
      </c>
      <c r="AB17" s="6">
        <v>-5</v>
      </c>
      <c r="AC17" s="6" t="str">
        <f>TEXT(Data_1[[#This Row],[ميعاد الطلب]],"MMMM")</f>
        <v>September</v>
      </c>
      <c r="AD17" s="8" t="s">
        <v>29</v>
      </c>
    </row>
    <row r="18" spans="2:30" x14ac:dyDescent="0.3">
      <c r="B18" s="6">
        <v>18</v>
      </c>
      <c r="C18" s="6">
        <v>16</v>
      </c>
      <c r="D18" s="6">
        <v>166</v>
      </c>
      <c r="E18" s="8" t="s">
        <v>234</v>
      </c>
      <c r="F18" s="8" t="s">
        <v>278</v>
      </c>
      <c r="G18" s="6">
        <v>0</v>
      </c>
      <c r="H18" s="8" t="s">
        <v>63</v>
      </c>
      <c r="I18" s="8" t="s">
        <v>234</v>
      </c>
      <c r="J18" s="8" t="s">
        <v>53</v>
      </c>
      <c r="K18" s="8" t="s">
        <v>87</v>
      </c>
      <c r="L18" s="8" t="s">
        <v>88</v>
      </c>
      <c r="M18" s="8" t="s">
        <v>33</v>
      </c>
      <c r="N18" s="8" t="s">
        <v>89</v>
      </c>
      <c r="O18" s="8">
        <v>0</v>
      </c>
      <c r="P18" s="8">
        <v>0</v>
      </c>
      <c r="Q18" s="6">
        <v>2</v>
      </c>
      <c r="R18" s="6">
        <v>2</v>
      </c>
      <c r="S18" s="6">
        <v>18600</v>
      </c>
      <c r="T18" s="6">
        <f>Data_1[[#This Row],[سعر البيع ]]*Data_1[[#This Row],[جميع الكميات]]</f>
        <v>18600</v>
      </c>
      <c r="U18" s="6">
        <v>9300</v>
      </c>
      <c r="V18" s="8" t="s">
        <v>56</v>
      </c>
      <c r="W18" s="15">
        <v>45539</v>
      </c>
      <c r="X18" s="15">
        <v>45550</v>
      </c>
      <c r="Y18" s="15">
        <v>45552</v>
      </c>
      <c r="Z18" s="8" t="s">
        <v>67</v>
      </c>
      <c r="AA18" s="8" t="s">
        <v>28</v>
      </c>
      <c r="AB18" s="6">
        <v>-2</v>
      </c>
      <c r="AC18" s="6" t="str">
        <f>TEXT(Data_1[[#This Row],[ميعاد الطلب]],"MMMM")</f>
        <v>September</v>
      </c>
      <c r="AD18" s="8" t="s">
        <v>29</v>
      </c>
    </row>
    <row r="19" spans="2:30" x14ac:dyDescent="0.3">
      <c r="B19" s="6">
        <v>19</v>
      </c>
      <c r="C19" s="6">
        <v>1408098</v>
      </c>
      <c r="D19" s="6">
        <v>1201057</v>
      </c>
      <c r="E19" s="8" t="s">
        <v>241</v>
      </c>
      <c r="F19" s="8" t="s">
        <v>237</v>
      </c>
      <c r="G19" s="6">
        <v>0</v>
      </c>
      <c r="H19" s="8" t="s">
        <v>85</v>
      </c>
      <c r="I19" s="8" t="s">
        <v>21</v>
      </c>
      <c r="J19" s="8" t="s">
        <v>53</v>
      </c>
      <c r="K19" s="8" t="s">
        <v>22</v>
      </c>
      <c r="L19" s="8" t="s">
        <v>61</v>
      </c>
      <c r="M19" s="8" t="s">
        <v>24</v>
      </c>
      <c r="N19" s="8" t="s">
        <v>86</v>
      </c>
      <c r="O19" s="8">
        <v>0</v>
      </c>
      <c r="P19" s="8">
        <v>0</v>
      </c>
      <c r="Q19" s="6">
        <v>4</v>
      </c>
      <c r="R19" s="6">
        <v>4</v>
      </c>
      <c r="S19" s="6">
        <v>31948</v>
      </c>
      <c r="T19" s="6">
        <f>Data_1[[#This Row],[سعر البيع ]]*Data_1[[#This Row],[جميع الكميات]]</f>
        <v>31948</v>
      </c>
      <c r="U19" s="6">
        <v>7987</v>
      </c>
      <c r="V19" s="8" t="s">
        <v>26</v>
      </c>
      <c r="W19" s="15">
        <v>45541</v>
      </c>
      <c r="X19" s="15">
        <v>45551</v>
      </c>
      <c r="Y19" s="15">
        <v>45556</v>
      </c>
      <c r="Z19" s="8" t="s">
        <v>67</v>
      </c>
      <c r="AA19" s="8" t="s">
        <v>28</v>
      </c>
      <c r="AB19" s="6">
        <v>-5</v>
      </c>
      <c r="AC19" s="6" t="str">
        <f>TEXT(Data_1[[#This Row],[ميعاد الطلب]],"MMMM")</f>
        <v>September</v>
      </c>
      <c r="AD19" s="8" t="s">
        <v>29</v>
      </c>
    </row>
    <row r="20" spans="2:30" x14ac:dyDescent="0.3">
      <c r="B20" s="6">
        <v>20</v>
      </c>
      <c r="C20" s="6">
        <v>1408100</v>
      </c>
      <c r="D20" s="6">
        <v>1201057</v>
      </c>
      <c r="E20" s="8" t="s">
        <v>241</v>
      </c>
      <c r="F20" s="8" t="s">
        <v>237</v>
      </c>
      <c r="G20" s="6">
        <v>0</v>
      </c>
      <c r="H20" s="8" t="s">
        <v>85</v>
      </c>
      <c r="I20" s="8" t="s">
        <v>21</v>
      </c>
      <c r="J20" s="8" t="s">
        <v>53</v>
      </c>
      <c r="K20" s="8" t="s">
        <v>22</v>
      </c>
      <c r="L20" s="8" t="s">
        <v>61</v>
      </c>
      <c r="M20" s="8" t="s">
        <v>24</v>
      </c>
      <c r="N20" s="8" t="s">
        <v>86</v>
      </c>
      <c r="O20" s="8">
        <v>0</v>
      </c>
      <c r="P20" s="8">
        <v>0</v>
      </c>
      <c r="Q20" s="6">
        <v>4</v>
      </c>
      <c r="R20" s="6">
        <v>4</v>
      </c>
      <c r="S20" s="6">
        <v>31948</v>
      </c>
      <c r="T20" s="6">
        <f>Data_1[[#This Row],[سعر البيع ]]*Data_1[[#This Row],[جميع الكميات]]</f>
        <v>31948</v>
      </c>
      <c r="U20" s="6">
        <v>7987</v>
      </c>
      <c r="V20" s="8" t="s">
        <v>26</v>
      </c>
      <c r="W20" s="15">
        <v>45541</v>
      </c>
      <c r="X20" s="15">
        <v>45551</v>
      </c>
      <c r="Y20" s="15">
        <v>45556</v>
      </c>
      <c r="Z20" s="8" t="s">
        <v>67</v>
      </c>
      <c r="AA20" s="8" t="s">
        <v>28</v>
      </c>
      <c r="AB20" s="6">
        <v>-5</v>
      </c>
      <c r="AC20" s="6" t="str">
        <f>TEXT(Data_1[[#This Row],[ميعاد الطلب]],"MMMM")</f>
        <v>September</v>
      </c>
      <c r="AD20" s="8" t="s">
        <v>29</v>
      </c>
    </row>
    <row r="21" spans="2:30" x14ac:dyDescent="0.3">
      <c r="B21" s="6">
        <v>21</v>
      </c>
      <c r="C21" s="6">
        <v>1408101</v>
      </c>
      <c r="D21" s="6">
        <v>1201057</v>
      </c>
      <c r="E21" s="8" t="s">
        <v>241</v>
      </c>
      <c r="F21" s="8" t="s">
        <v>237</v>
      </c>
      <c r="G21" s="6">
        <v>0</v>
      </c>
      <c r="H21" s="8" t="s">
        <v>85</v>
      </c>
      <c r="I21" s="8" t="s">
        <v>21</v>
      </c>
      <c r="J21" s="8" t="s">
        <v>53</v>
      </c>
      <c r="K21" s="8" t="s">
        <v>22</v>
      </c>
      <c r="L21" s="8" t="s">
        <v>61</v>
      </c>
      <c r="M21" s="8" t="s">
        <v>24</v>
      </c>
      <c r="N21" s="8" t="s">
        <v>86</v>
      </c>
      <c r="O21" s="8">
        <v>0</v>
      </c>
      <c r="P21" s="8">
        <v>0</v>
      </c>
      <c r="Q21" s="6">
        <v>4</v>
      </c>
      <c r="R21" s="6">
        <v>4</v>
      </c>
      <c r="S21" s="6">
        <v>31948</v>
      </c>
      <c r="T21" s="6">
        <f>Data_1[[#This Row],[سعر البيع ]]*Data_1[[#This Row],[جميع الكميات]]</f>
        <v>31948</v>
      </c>
      <c r="U21" s="6">
        <v>7987</v>
      </c>
      <c r="V21" s="8" t="s">
        <v>26</v>
      </c>
      <c r="W21" s="15">
        <v>45541</v>
      </c>
      <c r="X21" s="15">
        <v>45551</v>
      </c>
      <c r="Y21" s="15">
        <v>45556</v>
      </c>
      <c r="Z21" s="8" t="s">
        <v>67</v>
      </c>
      <c r="AA21" s="8" t="s">
        <v>28</v>
      </c>
      <c r="AB21" s="6">
        <v>-5</v>
      </c>
      <c r="AC21" s="6" t="str">
        <f>TEXT(Data_1[[#This Row],[ميعاد الطلب]],"MMMM")</f>
        <v>September</v>
      </c>
      <c r="AD21" s="8" t="s">
        <v>29</v>
      </c>
    </row>
    <row r="22" spans="2:30" x14ac:dyDescent="0.3">
      <c r="B22" s="6">
        <v>22</v>
      </c>
      <c r="C22" s="6">
        <v>1513856</v>
      </c>
      <c r="D22" s="6">
        <v>1231946</v>
      </c>
      <c r="E22" s="8" t="s">
        <v>90</v>
      </c>
      <c r="F22" s="8" t="s">
        <v>237</v>
      </c>
      <c r="G22" s="6">
        <v>1</v>
      </c>
      <c r="H22" s="8" t="s">
        <v>91</v>
      </c>
      <c r="I22" s="8" t="s">
        <v>21</v>
      </c>
      <c r="J22" s="8" t="s">
        <v>53</v>
      </c>
      <c r="K22" s="8" t="s">
        <v>46</v>
      </c>
      <c r="L22" s="8" t="s">
        <v>78</v>
      </c>
      <c r="M22" s="8" t="s">
        <v>33</v>
      </c>
      <c r="N22" s="8" t="s">
        <v>79</v>
      </c>
      <c r="O22" s="8">
        <v>1</v>
      </c>
      <c r="P22" s="8">
        <v>8849</v>
      </c>
      <c r="Q22" s="6">
        <v>1</v>
      </c>
      <c r="R22" s="6">
        <v>0</v>
      </c>
      <c r="S22" s="6">
        <v>0</v>
      </c>
      <c r="T22" s="6">
        <f>Data_1[[#This Row],[سعر البيع ]]*Data_1[[#This Row],[جميع الكميات]]</f>
        <v>8849</v>
      </c>
      <c r="U22" s="6">
        <v>8849</v>
      </c>
      <c r="V22" s="8" t="s">
        <v>26</v>
      </c>
      <c r="W22" s="15">
        <v>45538</v>
      </c>
      <c r="X22" s="15">
        <v>45581</v>
      </c>
      <c r="Y22" s="15"/>
      <c r="Z22" s="8" t="s">
        <v>76</v>
      </c>
      <c r="AA22" s="8" t="s">
        <v>42</v>
      </c>
      <c r="AB22" s="6" t="s">
        <v>42</v>
      </c>
      <c r="AC22" s="6" t="str">
        <f>TEXT(Data_1[[#This Row],[ميعاد الطلب]],"MMMM")</f>
        <v>September</v>
      </c>
      <c r="AD22" s="8" t="s">
        <v>42</v>
      </c>
    </row>
    <row r="23" spans="2:30" x14ac:dyDescent="0.3">
      <c r="B23" s="6">
        <v>23</v>
      </c>
      <c r="C23" s="6">
        <v>1411691</v>
      </c>
      <c r="D23" s="6">
        <v>1202775</v>
      </c>
      <c r="E23" s="8" t="s">
        <v>92</v>
      </c>
      <c r="F23" s="8" t="s">
        <v>237</v>
      </c>
      <c r="G23" s="6">
        <v>1</v>
      </c>
      <c r="H23" s="8" t="s">
        <v>74</v>
      </c>
      <c r="I23" s="8" t="s">
        <v>21</v>
      </c>
      <c r="J23" s="8" t="s">
        <v>120</v>
      </c>
      <c r="K23" s="8" t="s">
        <v>22</v>
      </c>
      <c r="L23" s="8" t="s">
        <v>61</v>
      </c>
      <c r="M23" s="8" t="s">
        <v>24</v>
      </c>
      <c r="N23" s="8" t="s">
        <v>93</v>
      </c>
      <c r="O23" s="8">
        <v>0</v>
      </c>
      <c r="P23" s="8">
        <v>0</v>
      </c>
      <c r="Q23" s="6">
        <v>1</v>
      </c>
      <c r="R23" s="6">
        <v>1</v>
      </c>
      <c r="S23" s="6">
        <v>10987</v>
      </c>
      <c r="T23" s="6">
        <f>Data_1[[#This Row],[سعر البيع ]]*Data_1[[#This Row],[جميع الكميات]]</f>
        <v>10987</v>
      </c>
      <c r="U23" s="6">
        <v>10987</v>
      </c>
      <c r="V23" s="8" t="s">
        <v>26</v>
      </c>
      <c r="W23" s="15">
        <v>45544</v>
      </c>
      <c r="X23" s="15">
        <v>45552</v>
      </c>
      <c r="Y23" s="15">
        <v>45556</v>
      </c>
      <c r="Z23" s="8" t="s">
        <v>67</v>
      </c>
      <c r="AA23" s="8" t="s">
        <v>28</v>
      </c>
      <c r="AB23" s="6">
        <v>-4</v>
      </c>
      <c r="AC23" s="6" t="str">
        <f>TEXT(Data_1[[#This Row],[ميعاد الطلب]],"MMMM")</f>
        <v>September</v>
      </c>
      <c r="AD23" s="8" t="s">
        <v>29</v>
      </c>
    </row>
    <row r="24" spans="2:30" x14ac:dyDescent="0.3">
      <c r="B24" s="6">
        <v>24</v>
      </c>
      <c r="C24" s="6">
        <v>17</v>
      </c>
      <c r="D24" s="6">
        <v>177</v>
      </c>
      <c r="E24" s="8" t="s">
        <v>95</v>
      </c>
      <c r="F24" s="8" t="s">
        <v>278</v>
      </c>
      <c r="G24" s="6">
        <v>0</v>
      </c>
      <c r="H24" s="8" t="s">
        <v>52</v>
      </c>
      <c r="I24" s="8" t="s">
        <v>95</v>
      </c>
      <c r="J24" s="8" t="s">
        <v>53</v>
      </c>
      <c r="K24" s="8" t="s">
        <v>22</v>
      </c>
      <c r="L24" s="8" t="s">
        <v>38</v>
      </c>
      <c r="M24" s="8" t="s">
        <v>24</v>
      </c>
      <c r="N24" s="8" t="s">
        <v>94</v>
      </c>
      <c r="O24" s="8">
        <v>0</v>
      </c>
      <c r="P24" s="8">
        <v>0</v>
      </c>
      <c r="Q24" s="6">
        <v>1</v>
      </c>
      <c r="R24" s="6">
        <v>1</v>
      </c>
      <c r="S24" s="6">
        <v>9208</v>
      </c>
      <c r="T24" s="6">
        <f>Data_1[[#This Row],[سعر البيع ]]*Data_1[[#This Row],[جميع الكميات]]</f>
        <v>9208</v>
      </c>
      <c r="U24" s="6">
        <v>9208</v>
      </c>
      <c r="V24" s="8" t="s">
        <v>56</v>
      </c>
      <c r="W24" s="15">
        <v>45536</v>
      </c>
      <c r="X24" s="15">
        <v>45554</v>
      </c>
      <c r="Y24" s="15">
        <v>45556</v>
      </c>
      <c r="Z24" s="8" t="s">
        <v>67</v>
      </c>
      <c r="AA24" s="8" t="s">
        <v>28</v>
      </c>
      <c r="AB24" s="6">
        <v>-2</v>
      </c>
      <c r="AC24" s="6" t="str">
        <f>TEXT(Data_1[[#This Row],[ميعاد الطلب]],"MMMM")</f>
        <v>September</v>
      </c>
      <c r="AD24" s="8" t="s">
        <v>29</v>
      </c>
    </row>
    <row r="25" spans="2:30" x14ac:dyDescent="0.3">
      <c r="B25" s="6">
        <v>25</v>
      </c>
      <c r="C25" s="6">
        <v>18</v>
      </c>
      <c r="D25" s="6">
        <v>188</v>
      </c>
      <c r="E25" s="8" t="s">
        <v>95</v>
      </c>
      <c r="F25" s="8" t="s">
        <v>278</v>
      </c>
      <c r="G25" s="6">
        <v>0</v>
      </c>
      <c r="H25" s="8" t="s">
        <v>52</v>
      </c>
      <c r="I25" s="8" t="s">
        <v>95</v>
      </c>
      <c r="J25" s="8" t="s">
        <v>53</v>
      </c>
      <c r="K25" s="8" t="s">
        <v>22</v>
      </c>
      <c r="L25" s="8" t="s">
        <v>38</v>
      </c>
      <c r="M25" s="8" t="s">
        <v>33</v>
      </c>
      <c r="N25" s="8" t="s">
        <v>96</v>
      </c>
      <c r="O25" s="8">
        <v>0</v>
      </c>
      <c r="P25" s="8">
        <v>0</v>
      </c>
      <c r="Q25" s="6">
        <v>1</v>
      </c>
      <c r="R25" s="6">
        <v>1</v>
      </c>
      <c r="S25" s="6">
        <v>9208</v>
      </c>
      <c r="T25" s="6">
        <f>Data_1[[#This Row],[سعر البيع ]]*Data_1[[#This Row],[جميع الكميات]]</f>
        <v>9208</v>
      </c>
      <c r="U25" s="6">
        <v>9208</v>
      </c>
      <c r="V25" s="8" t="s">
        <v>56</v>
      </c>
      <c r="W25" s="15">
        <v>45536</v>
      </c>
      <c r="X25" s="15">
        <v>45554</v>
      </c>
      <c r="Y25" s="15">
        <v>45556</v>
      </c>
      <c r="Z25" s="8" t="s">
        <v>67</v>
      </c>
      <c r="AA25" s="8" t="s">
        <v>28</v>
      </c>
      <c r="AB25" s="6">
        <v>-2</v>
      </c>
      <c r="AC25" s="6" t="str">
        <f>TEXT(Data_1[[#This Row],[ميعاد الطلب]],"MMMM")</f>
        <v>September</v>
      </c>
      <c r="AD25" s="8" t="s">
        <v>29</v>
      </c>
    </row>
    <row r="26" spans="2:30" x14ac:dyDescent="0.3">
      <c r="B26" s="6">
        <v>26</v>
      </c>
      <c r="C26" s="6">
        <v>20</v>
      </c>
      <c r="D26" s="6">
        <v>200</v>
      </c>
      <c r="E26" s="8" t="s">
        <v>97</v>
      </c>
      <c r="F26" s="8" t="s">
        <v>278</v>
      </c>
      <c r="G26" s="6">
        <v>1</v>
      </c>
      <c r="H26" s="8" t="s">
        <v>98</v>
      </c>
      <c r="I26" s="8" t="s">
        <v>232</v>
      </c>
      <c r="J26" s="8" t="s">
        <v>99</v>
      </c>
      <c r="K26" s="8" t="s">
        <v>22</v>
      </c>
      <c r="L26" s="8" t="s">
        <v>61</v>
      </c>
      <c r="M26" s="8" t="s">
        <v>24</v>
      </c>
      <c r="N26" s="8" t="s">
        <v>100</v>
      </c>
      <c r="O26" s="8">
        <v>0</v>
      </c>
      <c r="P26" s="8">
        <v>0</v>
      </c>
      <c r="Q26" s="6">
        <v>1</v>
      </c>
      <c r="R26" s="6">
        <v>1</v>
      </c>
      <c r="S26" s="6">
        <v>4020</v>
      </c>
      <c r="T26" s="6">
        <f>Data_1[[#This Row],[سعر البيع ]]*Data_1[[#This Row],[جميع الكميات]]</f>
        <v>4020</v>
      </c>
      <c r="U26" s="6">
        <v>4020</v>
      </c>
      <c r="V26" s="8" t="s">
        <v>56</v>
      </c>
      <c r="W26" s="15">
        <v>45547</v>
      </c>
      <c r="X26" s="15">
        <v>45556</v>
      </c>
      <c r="Y26" s="15">
        <v>45557</v>
      </c>
      <c r="Z26" s="8" t="s">
        <v>67</v>
      </c>
      <c r="AA26" s="8" t="s">
        <v>28</v>
      </c>
      <c r="AB26" s="6">
        <v>-1</v>
      </c>
      <c r="AC26" s="6" t="str">
        <f>TEXT(Data_1[[#This Row],[ميعاد الطلب]],"MMMM")</f>
        <v>September</v>
      </c>
      <c r="AD26" s="8" t="s">
        <v>29</v>
      </c>
    </row>
    <row r="27" spans="2:30" x14ac:dyDescent="0.3">
      <c r="B27" s="6">
        <v>27</v>
      </c>
      <c r="C27" s="6">
        <v>23</v>
      </c>
      <c r="D27" s="6">
        <v>233</v>
      </c>
      <c r="E27" s="8" t="s">
        <v>97</v>
      </c>
      <c r="F27" s="8" t="s">
        <v>278</v>
      </c>
      <c r="G27" s="6">
        <v>0</v>
      </c>
      <c r="H27" s="8" t="s">
        <v>98</v>
      </c>
      <c r="I27" s="8" t="s">
        <v>232</v>
      </c>
      <c r="J27" s="8" t="s">
        <v>99</v>
      </c>
      <c r="K27" s="8" t="s">
        <v>22</v>
      </c>
      <c r="L27" s="8" t="s">
        <v>61</v>
      </c>
      <c r="M27" s="8" t="s">
        <v>33</v>
      </c>
      <c r="N27" s="8" t="s">
        <v>101</v>
      </c>
      <c r="O27" s="8">
        <v>0</v>
      </c>
      <c r="P27" s="8">
        <v>0</v>
      </c>
      <c r="Q27" s="6">
        <v>2</v>
      </c>
      <c r="R27" s="6">
        <v>2</v>
      </c>
      <c r="S27" s="6">
        <v>8040</v>
      </c>
      <c r="T27" s="6">
        <f>Data_1[[#This Row],[سعر البيع ]]*Data_1[[#This Row],[جميع الكميات]]</f>
        <v>8040</v>
      </c>
      <c r="U27" s="6">
        <v>4020</v>
      </c>
      <c r="V27" s="8" t="s">
        <v>56</v>
      </c>
      <c r="W27" s="15">
        <v>45547</v>
      </c>
      <c r="X27" s="15">
        <v>45556</v>
      </c>
      <c r="Y27" s="15">
        <v>45557</v>
      </c>
      <c r="Z27" s="8" t="s">
        <v>67</v>
      </c>
      <c r="AA27" s="8" t="s">
        <v>28</v>
      </c>
      <c r="AB27" s="6">
        <v>-1</v>
      </c>
      <c r="AC27" s="6" t="str">
        <f>TEXT(Data_1[[#This Row],[ميعاد الطلب]],"MMMM")</f>
        <v>September</v>
      </c>
      <c r="AD27" s="8" t="s">
        <v>29</v>
      </c>
    </row>
    <row r="28" spans="2:30" x14ac:dyDescent="0.3">
      <c r="B28" s="6">
        <v>28</v>
      </c>
      <c r="C28" s="6">
        <v>1509211</v>
      </c>
      <c r="D28" s="6">
        <v>1230837</v>
      </c>
      <c r="E28" s="8" t="s">
        <v>102</v>
      </c>
      <c r="F28" s="8" t="s">
        <v>237</v>
      </c>
      <c r="G28" s="6">
        <v>1</v>
      </c>
      <c r="H28" s="8" t="s">
        <v>103</v>
      </c>
      <c r="I28" s="8" t="s">
        <v>21</v>
      </c>
      <c r="J28" s="8" t="s">
        <v>104</v>
      </c>
      <c r="K28" s="8" t="s">
        <v>22</v>
      </c>
      <c r="L28" s="8" t="s">
        <v>23</v>
      </c>
      <c r="M28" s="8" t="s">
        <v>33</v>
      </c>
      <c r="N28" s="8" t="s">
        <v>105</v>
      </c>
      <c r="O28" s="8">
        <v>1</v>
      </c>
      <c r="P28" s="8">
        <v>9399</v>
      </c>
      <c r="Q28" s="6">
        <v>1</v>
      </c>
      <c r="R28" s="6">
        <v>0</v>
      </c>
      <c r="S28" s="6">
        <v>0</v>
      </c>
      <c r="T28" s="6">
        <f>Data_1[[#This Row],[سعر البيع ]]*Data_1[[#This Row],[جميع الكميات]]</f>
        <v>9399</v>
      </c>
      <c r="U28" s="6">
        <v>9399</v>
      </c>
      <c r="V28" s="8" t="s">
        <v>26</v>
      </c>
      <c r="W28" s="15">
        <v>45549</v>
      </c>
      <c r="X28" s="15">
        <v>45557</v>
      </c>
      <c r="Y28" s="15"/>
      <c r="Z28" s="8" t="s">
        <v>41</v>
      </c>
      <c r="AA28" s="8" t="s">
        <v>42</v>
      </c>
      <c r="AB28" s="6" t="s">
        <v>42</v>
      </c>
      <c r="AC28" s="6" t="str">
        <f>TEXT(Data_1[[#This Row],[ميعاد الطلب]],"MMMM")</f>
        <v>September</v>
      </c>
      <c r="AD28" s="8" t="s">
        <v>42</v>
      </c>
    </row>
    <row r="29" spans="2:30" x14ac:dyDescent="0.3">
      <c r="B29" s="6">
        <v>29</v>
      </c>
      <c r="C29" s="6">
        <v>1536687</v>
      </c>
      <c r="D29" s="6">
        <v>1237682</v>
      </c>
      <c r="E29" s="8" t="s">
        <v>106</v>
      </c>
      <c r="F29" s="8" t="s">
        <v>237</v>
      </c>
      <c r="G29" s="6">
        <v>1</v>
      </c>
      <c r="H29" s="8" t="s">
        <v>107</v>
      </c>
      <c r="I29" s="8" t="s">
        <v>21</v>
      </c>
      <c r="J29" s="8" t="s">
        <v>32</v>
      </c>
      <c r="K29" s="8" t="s">
        <v>46</v>
      </c>
      <c r="L29" s="8" t="s">
        <v>108</v>
      </c>
      <c r="M29" s="8" t="s">
        <v>33</v>
      </c>
      <c r="N29" s="8" t="s">
        <v>109</v>
      </c>
      <c r="O29" s="8">
        <v>0</v>
      </c>
      <c r="P29" s="8">
        <v>0</v>
      </c>
      <c r="Q29" s="6">
        <v>1</v>
      </c>
      <c r="R29" s="6">
        <v>1</v>
      </c>
      <c r="S29" s="6">
        <v>8349</v>
      </c>
      <c r="T29" s="6">
        <f>Data_1[[#This Row],[سعر البيع ]]*Data_1[[#This Row],[جميع الكميات]]</f>
        <v>8349</v>
      </c>
      <c r="U29" s="6">
        <v>8349</v>
      </c>
      <c r="V29" s="8" t="s">
        <v>26</v>
      </c>
      <c r="W29" s="15">
        <v>45549</v>
      </c>
      <c r="X29" s="15">
        <v>45557</v>
      </c>
      <c r="Y29" s="15">
        <v>45559</v>
      </c>
      <c r="Z29" s="8" t="s">
        <v>27</v>
      </c>
      <c r="AA29" s="8" t="s">
        <v>28</v>
      </c>
      <c r="AB29" s="6">
        <v>-2</v>
      </c>
      <c r="AC29" s="6" t="str">
        <f>TEXT(Data_1[[#This Row],[ميعاد الطلب]],"MMMM")</f>
        <v>September</v>
      </c>
      <c r="AD29" s="8" t="s">
        <v>29</v>
      </c>
    </row>
    <row r="30" spans="2:30" x14ac:dyDescent="0.3">
      <c r="B30" s="6">
        <v>30</v>
      </c>
      <c r="C30" s="6">
        <v>1520537</v>
      </c>
      <c r="D30" s="6">
        <v>1233624</v>
      </c>
      <c r="E30" s="8" t="s">
        <v>246</v>
      </c>
      <c r="F30" s="8" t="s">
        <v>237</v>
      </c>
      <c r="G30" s="6">
        <v>1</v>
      </c>
      <c r="H30" s="8" t="s">
        <v>60</v>
      </c>
      <c r="I30" s="8" t="s">
        <v>21</v>
      </c>
      <c r="J30" s="8" t="s">
        <v>120</v>
      </c>
      <c r="K30" s="8" t="s">
        <v>22</v>
      </c>
      <c r="L30" s="8" t="s">
        <v>23</v>
      </c>
      <c r="M30" s="8" t="s">
        <v>33</v>
      </c>
      <c r="N30" s="8" t="s">
        <v>110</v>
      </c>
      <c r="O30" s="8">
        <v>0</v>
      </c>
      <c r="P30" s="8">
        <v>0</v>
      </c>
      <c r="Q30" s="6">
        <v>1</v>
      </c>
      <c r="R30" s="6">
        <v>1</v>
      </c>
      <c r="S30" s="6">
        <v>9399</v>
      </c>
      <c r="T30" s="6">
        <f>Data_1[[#This Row],[سعر البيع ]]*Data_1[[#This Row],[جميع الكميات]]</f>
        <v>9399</v>
      </c>
      <c r="U30" s="6">
        <v>9399</v>
      </c>
      <c r="V30" s="8" t="s">
        <v>26</v>
      </c>
      <c r="W30" s="15">
        <v>45548</v>
      </c>
      <c r="X30" s="15">
        <v>45559</v>
      </c>
      <c r="Y30" s="15">
        <v>45557</v>
      </c>
      <c r="Z30" s="8" t="s">
        <v>27</v>
      </c>
      <c r="AA30" s="8" t="s">
        <v>28</v>
      </c>
      <c r="AB30" s="6">
        <v>2</v>
      </c>
      <c r="AC30" s="6" t="str">
        <f>TEXT(Data_1[[#This Row],[ميعاد الطلب]],"MMMM")</f>
        <v>September</v>
      </c>
      <c r="AD30" s="8" t="s">
        <v>49</v>
      </c>
    </row>
    <row r="31" spans="2:30" x14ac:dyDescent="0.3">
      <c r="B31" s="6">
        <v>31</v>
      </c>
      <c r="C31" s="6">
        <v>1422998</v>
      </c>
      <c r="D31" s="6">
        <v>1207350</v>
      </c>
      <c r="E31" s="8" t="s">
        <v>247</v>
      </c>
      <c r="F31" s="8" t="s">
        <v>237</v>
      </c>
      <c r="G31" s="6">
        <v>1</v>
      </c>
      <c r="H31" s="8" t="s">
        <v>111</v>
      </c>
      <c r="I31" s="8" t="s">
        <v>21</v>
      </c>
      <c r="J31" s="8" t="s">
        <v>53</v>
      </c>
      <c r="K31" s="8" t="s">
        <v>46</v>
      </c>
      <c r="L31" s="8" t="s">
        <v>78</v>
      </c>
      <c r="M31" s="8" t="s">
        <v>33</v>
      </c>
      <c r="N31" s="8" t="s">
        <v>79</v>
      </c>
      <c r="O31" s="8">
        <v>0</v>
      </c>
      <c r="P31" s="8">
        <v>0</v>
      </c>
      <c r="Q31" s="6">
        <v>1</v>
      </c>
      <c r="R31" s="6">
        <v>1</v>
      </c>
      <c r="S31" s="6">
        <v>7849</v>
      </c>
      <c r="T31" s="6">
        <f>Data_1[[#This Row],[سعر البيع ]]*Data_1[[#This Row],[جميع الكميات]]</f>
        <v>7849</v>
      </c>
      <c r="U31" s="6">
        <v>7849</v>
      </c>
      <c r="V31" s="8" t="s">
        <v>26</v>
      </c>
      <c r="W31" s="15">
        <v>45547</v>
      </c>
      <c r="X31" s="15">
        <v>45561</v>
      </c>
      <c r="Y31" s="15">
        <v>45556</v>
      </c>
      <c r="Z31" s="8" t="s">
        <v>27</v>
      </c>
      <c r="AA31" s="8" t="s">
        <v>28</v>
      </c>
      <c r="AB31" s="6">
        <v>5</v>
      </c>
      <c r="AC31" s="6" t="str">
        <f>TEXT(Data_1[[#This Row],[ميعاد الطلب]],"MMMM")</f>
        <v>September</v>
      </c>
      <c r="AD31" s="8" t="s">
        <v>49</v>
      </c>
    </row>
    <row r="32" spans="2:30" x14ac:dyDescent="0.3">
      <c r="B32" s="6">
        <v>32</v>
      </c>
      <c r="C32" s="6">
        <v>24</v>
      </c>
      <c r="D32" s="6">
        <v>244</v>
      </c>
      <c r="E32" s="8" t="s">
        <v>112</v>
      </c>
      <c r="F32" s="8" t="s">
        <v>237</v>
      </c>
      <c r="G32" s="6">
        <v>1</v>
      </c>
      <c r="H32" s="8" t="s">
        <v>113</v>
      </c>
      <c r="I32" s="8" t="s">
        <v>58</v>
      </c>
      <c r="J32" s="8" t="s">
        <v>120</v>
      </c>
      <c r="K32" s="8" t="s">
        <v>22</v>
      </c>
      <c r="L32" s="8" t="s">
        <v>114</v>
      </c>
      <c r="M32" s="8" t="s">
        <v>33</v>
      </c>
      <c r="N32" s="8" t="s">
        <v>115</v>
      </c>
      <c r="O32" s="8">
        <v>1</v>
      </c>
      <c r="P32" s="8">
        <v>9450</v>
      </c>
      <c r="Q32" s="6">
        <v>1</v>
      </c>
      <c r="R32" s="6">
        <v>0</v>
      </c>
      <c r="S32" s="6">
        <v>0</v>
      </c>
      <c r="T32" s="6">
        <f>Data_1[[#This Row],[سعر البيع ]]*Data_1[[#This Row],[جميع الكميات]]</f>
        <v>9450</v>
      </c>
      <c r="U32" s="6">
        <v>9450</v>
      </c>
      <c r="V32" s="8" t="s">
        <v>26</v>
      </c>
      <c r="W32" s="15">
        <v>45547</v>
      </c>
      <c r="X32" s="15">
        <v>45561</v>
      </c>
      <c r="Y32" s="15"/>
      <c r="Z32" s="8" t="s">
        <v>76</v>
      </c>
      <c r="AA32" s="8" t="s">
        <v>42</v>
      </c>
      <c r="AB32" s="6" t="s">
        <v>42</v>
      </c>
      <c r="AC32" s="6" t="str">
        <f>TEXT(Data_1[[#This Row],[ميعاد الطلب]],"MMMM")</f>
        <v>September</v>
      </c>
      <c r="AD32" s="8" t="s">
        <v>42</v>
      </c>
    </row>
    <row r="33" spans="2:30" x14ac:dyDescent="0.3">
      <c r="B33" s="6">
        <v>33</v>
      </c>
      <c r="C33" s="6">
        <v>1459790</v>
      </c>
      <c r="D33" s="6">
        <v>1218257</v>
      </c>
      <c r="E33" s="8" t="s">
        <v>248</v>
      </c>
      <c r="F33" s="8" t="s">
        <v>237</v>
      </c>
      <c r="G33" s="6">
        <v>1</v>
      </c>
      <c r="H33" s="8" t="s">
        <v>85</v>
      </c>
      <c r="I33" s="8" t="s">
        <v>21</v>
      </c>
      <c r="J33" s="8" t="s">
        <v>53</v>
      </c>
      <c r="K33" s="8" t="s">
        <v>22</v>
      </c>
      <c r="L33" s="8" t="s">
        <v>61</v>
      </c>
      <c r="M33" s="8" t="s">
        <v>33</v>
      </c>
      <c r="N33" s="8" t="s">
        <v>116</v>
      </c>
      <c r="O33" s="8">
        <v>0</v>
      </c>
      <c r="P33" s="8">
        <v>0</v>
      </c>
      <c r="Q33" s="6">
        <v>1</v>
      </c>
      <c r="R33" s="6">
        <v>1</v>
      </c>
      <c r="S33" s="6">
        <v>7460</v>
      </c>
      <c r="T33" s="6">
        <f>Data_1[[#This Row],[سعر البيع ]]*Data_1[[#This Row],[جميع الكميات]]</f>
        <v>7460</v>
      </c>
      <c r="U33" s="6">
        <v>7460</v>
      </c>
      <c r="V33" s="8" t="s">
        <v>26</v>
      </c>
      <c r="W33" s="15">
        <v>45548</v>
      </c>
      <c r="X33" s="15">
        <v>45561</v>
      </c>
      <c r="Y33" s="15">
        <v>45568</v>
      </c>
      <c r="Z33" s="8" t="s">
        <v>67</v>
      </c>
      <c r="AA33" s="8" t="s">
        <v>28</v>
      </c>
      <c r="AB33" s="6">
        <v>-7</v>
      </c>
      <c r="AC33" s="6" t="str">
        <f>TEXT(Data_1[[#This Row],[ميعاد الطلب]],"MMMM")</f>
        <v>September</v>
      </c>
      <c r="AD33" s="8" t="s">
        <v>29</v>
      </c>
    </row>
    <row r="34" spans="2:30" x14ac:dyDescent="0.3">
      <c r="B34" s="6">
        <v>34</v>
      </c>
      <c r="C34" s="6">
        <v>1455486</v>
      </c>
      <c r="D34" s="6">
        <v>1217163</v>
      </c>
      <c r="E34" s="8" t="s">
        <v>117</v>
      </c>
      <c r="F34" s="8" t="s">
        <v>237</v>
      </c>
      <c r="G34" s="6">
        <v>1</v>
      </c>
      <c r="H34" s="8" t="s">
        <v>85</v>
      </c>
      <c r="I34" s="8" t="s">
        <v>21</v>
      </c>
      <c r="J34" s="8" t="s">
        <v>53</v>
      </c>
      <c r="K34" s="8" t="s">
        <v>22</v>
      </c>
      <c r="L34" s="8" t="s">
        <v>61</v>
      </c>
      <c r="M34" s="8" t="s">
        <v>118</v>
      </c>
      <c r="N34" s="8" t="s">
        <v>119</v>
      </c>
      <c r="O34" s="8">
        <v>0</v>
      </c>
      <c r="P34" s="8">
        <v>0</v>
      </c>
      <c r="Q34" s="6">
        <v>1</v>
      </c>
      <c r="R34" s="6">
        <v>1</v>
      </c>
      <c r="S34" s="6">
        <v>9528</v>
      </c>
      <c r="T34" s="6">
        <f>Data_1[[#This Row],[سعر البيع ]]*Data_1[[#This Row],[جميع الكميات]]</f>
        <v>9528</v>
      </c>
      <c r="U34" s="6">
        <v>9528</v>
      </c>
      <c r="V34" s="8" t="s">
        <v>26</v>
      </c>
      <c r="W34" s="15">
        <v>45548</v>
      </c>
      <c r="X34" s="15">
        <v>45561</v>
      </c>
      <c r="Y34" s="15">
        <v>45568</v>
      </c>
      <c r="Z34" s="8" t="s">
        <v>67</v>
      </c>
      <c r="AA34" s="8" t="s">
        <v>28</v>
      </c>
      <c r="AB34" s="6">
        <v>-7</v>
      </c>
      <c r="AC34" s="6" t="str">
        <f>TEXT(Data_1[[#This Row],[ميعاد الطلب]],"MMMM")</f>
        <v>September</v>
      </c>
      <c r="AD34" s="8" t="s">
        <v>29</v>
      </c>
    </row>
    <row r="35" spans="2:30" x14ac:dyDescent="0.3">
      <c r="B35" s="6">
        <v>35</v>
      </c>
      <c r="C35" s="6">
        <v>1504407</v>
      </c>
      <c r="D35" s="6">
        <v>1229760</v>
      </c>
      <c r="E35" s="8" t="s">
        <v>249</v>
      </c>
      <c r="F35" s="8" t="s">
        <v>237</v>
      </c>
      <c r="G35" s="6">
        <v>1</v>
      </c>
      <c r="H35" s="8" t="s">
        <v>60</v>
      </c>
      <c r="I35" s="8" t="s">
        <v>21</v>
      </c>
      <c r="J35" s="8" t="s">
        <v>120</v>
      </c>
      <c r="K35" s="8" t="s">
        <v>22</v>
      </c>
      <c r="L35" s="8" t="s">
        <v>38</v>
      </c>
      <c r="M35" s="8" t="s">
        <v>50</v>
      </c>
      <c r="N35" s="8" t="s">
        <v>121</v>
      </c>
      <c r="O35" s="8">
        <v>0</v>
      </c>
      <c r="P35" s="8">
        <v>0</v>
      </c>
      <c r="Q35" s="6">
        <v>1</v>
      </c>
      <c r="R35" s="6">
        <v>1</v>
      </c>
      <c r="S35" s="6">
        <v>12999</v>
      </c>
      <c r="T35" s="6">
        <f>Data_1[[#This Row],[سعر البيع ]]*Data_1[[#This Row],[جميع الكميات]]</f>
        <v>12999</v>
      </c>
      <c r="U35" s="6">
        <v>12999</v>
      </c>
      <c r="V35" s="8" t="s">
        <v>26</v>
      </c>
      <c r="W35" s="15">
        <v>45549</v>
      </c>
      <c r="X35" s="15">
        <v>45562</v>
      </c>
      <c r="Y35" s="15">
        <v>45567</v>
      </c>
      <c r="Z35" s="8" t="s">
        <v>67</v>
      </c>
      <c r="AA35" s="8" t="s">
        <v>28</v>
      </c>
      <c r="AB35" s="6">
        <v>-5</v>
      </c>
      <c r="AC35" s="6" t="str">
        <f>TEXT(Data_1[[#This Row],[ميعاد الطلب]],"MMMM")</f>
        <v>September</v>
      </c>
      <c r="AD35" s="8" t="s">
        <v>29</v>
      </c>
    </row>
    <row r="36" spans="2:30" x14ac:dyDescent="0.3">
      <c r="B36" s="6">
        <v>36</v>
      </c>
      <c r="C36" s="6">
        <v>1423361</v>
      </c>
      <c r="D36" s="6">
        <v>1207484</v>
      </c>
      <c r="E36" s="8" t="s">
        <v>250</v>
      </c>
      <c r="F36" s="8" t="s">
        <v>237</v>
      </c>
      <c r="G36" s="6">
        <v>1</v>
      </c>
      <c r="H36" s="8" t="s">
        <v>122</v>
      </c>
      <c r="I36" s="8" t="s">
        <v>21</v>
      </c>
      <c r="J36" s="8" t="s">
        <v>53</v>
      </c>
      <c r="K36" s="8" t="s">
        <v>22</v>
      </c>
      <c r="L36" s="8" t="s">
        <v>38</v>
      </c>
      <c r="M36" s="8" t="s">
        <v>33</v>
      </c>
      <c r="N36" s="8" t="s">
        <v>123</v>
      </c>
      <c r="O36" s="8">
        <v>0</v>
      </c>
      <c r="P36" s="8">
        <v>0</v>
      </c>
      <c r="Q36" s="6">
        <v>1</v>
      </c>
      <c r="R36" s="6">
        <v>1</v>
      </c>
      <c r="S36" s="6">
        <v>5999</v>
      </c>
      <c r="T36" s="6">
        <f>Data_1[[#This Row],[سعر البيع ]]*Data_1[[#This Row],[جميع الكميات]]</f>
        <v>5999</v>
      </c>
      <c r="U36" s="6">
        <v>5999</v>
      </c>
      <c r="V36" s="8" t="s">
        <v>26</v>
      </c>
      <c r="W36" s="15">
        <v>45547</v>
      </c>
      <c r="X36" s="15">
        <v>45564</v>
      </c>
      <c r="Y36" s="15">
        <v>45557</v>
      </c>
      <c r="Z36" s="8" t="s">
        <v>67</v>
      </c>
      <c r="AA36" s="8" t="s">
        <v>28</v>
      </c>
      <c r="AB36" s="6">
        <v>7</v>
      </c>
      <c r="AC36" s="6" t="str">
        <f>TEXT(Data_1[[#This Row],[ميعاد الطلب]],"MMMM")</f>
        <v>September</v>
      </c>
      <c r="AD36" s="8" t="s">
        <v>49</v>
      </c>
    </row>
    <row r="37" spans="2:30" x14ac:dyDescent="0.3">
      <c r="B37" s="6">
        <v>37</v>
      </c>
      <c r="C37" s="6">
        <v>1415725</v>
      </c>
      <c r="D37" s="6">
        <v>1204732</v>
      </c>
      <c r="E37" s="8" t="s">
        <v>251</v>
      </c>
      <c r="F37" s="8" t="s">
        <v>237</v>
      </c>
      <c r="G37" s="6">
        <v>1</v>
      </c>
      <c r="H37" s="8" t="s">
        <v>124</v>
      </c>
      <c r="I37" s="8" t="s">
        <v>21</v>
      </c>
      <c r="J37" s="8" t="s">
        <v>120</v>
      </c>
      <c r="K37" s="8" t="s">
        <v>22</v>
      </c>
      <c r="L37" s="8" t="s">
        <v>38</v>
      </c>
      <c r="M37" s="8" t="s">
        <v>33</v>
      </c>
      <c r="N37" s="8" t="s">
        <v>125</v>
      </c>
      <c r="O37" s="8">
        <v>0</v>
      </c>
      <c r="P37" s="8">
        <v>0</v>
      </c>
      <c r="Q37" s="6">
        <v>2</v>
      </c>
      <c r="R37" s="6">
        <v>2</v>
      </c>
      <c r="S37" s="6">
        <v>23898</v>
      </c>
      <c r="T37" s="6">
        <f>Data_1[[#This Row],[سعر البيع ]]*Data_1[[#This Row],[جميع الكميات]]</f>
        <v>23898</v>
      </c>
      <c r="U37" s="6">
        <v>11949</v>
      </c>
      <c r="V37" s="8" t="s">
        <v>26</v>
      </c>
      <c r="W37" s="15">
        <v>45547</v>
      </c>
      <c r="X37" s="15">
        <v>45564</v>
      </c>
      <c r="Y37" s="15">
        <v>45567</v>
      </c>
      <c r="Z37" s="8" t="s">
        <v>67</v>
      </c>
      <c r="AA37" s="8" t="s">
        <v>28</v>
      </c>
      <c r="AB37" s="6">
        <v>-3</v>
      </c>
      <c r="AC37" s="6" t="str">
        <f>TEXT(Data_1[[#This Row],[ميعاد الطلب]],"MMMM")</f>
        <v>September</v>
      </c>
      <c r="AD37" s="8" t="s">
        <v>29</v>
      </c>
    </row>
    <row r="38" spans="2:30" x14ac:dyDescent="0.3">
      <c r="B38" s="6">
        <v>38</v>
      </c>
      <c r="C38" s="6">
        <v>1415726</v>
      </c>
      <c r="D38" s="6">
        <v>1204732</v>
      </c>
      <c r="E38" s="8" t="s">
        <v>251</v>
      </c>
      <c r="F38" s="8" t="s">
        <v>237</v>
      </c>
      <c r="G38" s="6">
        <v>0</v>
      </c>
      <c r="H38" s="8" t="s">
        <v>124</v>
      </c>
      <c r="I38" s="8" t="s">
        <v>21</v>
      </c>
      <c r="J38" s="8" t="s">
        <v>120</v>
      </c>
      <c r="K38" s="8" t="s">
        <v>22</v>
      </c>
      <c r="L38" s="8" t="s">
        <v>38</v>
      </c>
      <c r="M38" s="8" t="s">
        <v>33</v>
      </c>
      <c r="N38" s="8" t="s">
        <v>125</v>
      </c>
      <c r="O38" s="8">
        <v>0</v>
      </c>
      <c r="P38" s="8">
        <v>0</v>
      </c>
      <c r="Q38" s="6">
        <v>2</v>
      </c>
      <c r="R38" s="6">
        <v>2</v>
      </c>
      <c r="S38" s="6">
        <v>23898</v>
      </c>
      <c r="T38" s="6">
        <f>Data_1[[#This Row],[سعر البيع ]]*Data_1[[#This Row],[جميع الكميات]]</f>
        <v>23898</v>
      </c>
      <c r="U38" s="6">
        <v>11949</v>
      </c>
      <c r="V38" s="8" t="s">
        <v>26</v>
      </c>
      <c r="W38" s="15">
        <v>45547</v>
      </c>
      <c r="X38" s="15">
        <v>45564</v>
      </c>
      <c r="Y38" s="15">
        <v>45567</v>
      </c>
      <c r="Z38" s="8" t="s">
        <v>67</v>
      </c>
      <c r="AA38" s="8" t="s">
        <v>28</v>
      </c>
      <c r="AB38" s="6">
        <v>-3</v>
      </c>
      <c r="AC38" s="6" t="str">
        <f>TEXT(Data_1[[#This Row],[ميعاد الطلب]],"MMMM")</f>
        <v>September</v>
      </c>
      <c r="AD38" s="8" t="s">
        <v>29</v>
      </c>
    </row>
    <row r="39" spans="2:30" x14ac:dyDescent="0.3">
      <c r="B39" s="6">
        <v>39</v>
      </c>
      <c r="C39" s="6">
        <v>1499397</v>
      </c>
      <c r="D39" s="6">
        <v>1228586</v>
      </c>
      <c r="E39" s="8" t="s">
        <v>241</v>
      </c>
      <c r="F39" s="8" t="s">
        <v>237</v>
      </c>
      <c r="G39" s="6">
        <v>0</v>
      </c>
      <c r="H39" s="8" t="s">
        <v>126</v>
      </c>
      <c r="I39" s="8" t="s">
        <v>21</v>
      </c>
      <c r="J39" s="8" t="s">
        <v>53</v>
      </c>
      <c r="K39" s="8" t="s">
        <v>22</v>
      </c>
      <c r="L39" s="8" t="s">
        <v>114</v>
      </c>
      <c r="M39" s="8" t="s">
        <v>24</v>
      </c>
      <c r="N39" s="8" t="s">
        <v>127</v>
      </c>
      <c r="O39" s="8">
        <v>0</v>
      </c>
      <c r="P39" s="8">
        <v>0</v>
      </c>
      <c r="Q39" s="6">
        <v>1</v>
      </c>
      <c r="R39" s="6">
        <v>1</v>
      </c>
      <c r="S39" s="6">
        <v>16599</v>
      </c>
      <c r="T39" s="6">
        <f>Data_1[[#This Row],[سعر البيع ]]*Data_1[[#This Row],[جميع الكميات]]</f>
        <v>16599</v>
      </c>
      <c r="U39" s="6">
        <v>16599</v>
      </c>
      <c r="V39" s="8" t="s">
        <v>26</v>
      </c>
      <c r="W39" s="15">
        <v>45548</v>
      </c>
      <c r="X39" s="15">
        <v>45565</v>
      </c>
      <c r="Y39" s="15">
        <v>45568</v>
      </c>
      <c r="Z39" s="8" t="s">
        <v>67</v>
      </c>
      <c r="AA39" s="8" t="s">
        <v>28</v>
      </c>
      <c r="AB39" s="6">
        <v>-3</v>
      </c>
      <c r="AC39" s="6" t="str">
        <f>TEXT(Data_1[[#This Row],[ميعاد الطلب]],"MMMM")</f>
        <v>September</v>
      </c>
      <c r="AD39" s="8" t="s">
        <v>29</v>
      </c>
    </row>
    <row r="40" spans="2:30" x14ac:dyDescent="0.3">
      <c r="B40" s="6">
        <v>40</v>
      </c>
      <c r="C40" s="6">
        <v>1458696</v>
      </c>
      <c r="D40" s="6">
        <v>1217982</v>
      </c>
      <c r="E40" s="8" t="s">
        <v>252</v>
      </c>
      <c r="F40" s="8" t="s">
        <v>237</v>
      </c>
      <c r="G40" s="6">
        <v>1</v>
      </c>
      <c r="H40" s="8" t="s">
        <v>44</v>
      </c>
      <c r="I40" s="8" t="s">
        <v>21</v>
      </c>
      <c r="J40" s="8" t="s">
        <v>45</v>
      </c>
      <c r="K40" s="8" t="s">
        <v>22</v>
      </c>
      <c r="L40" s="8" t="s">
        <v>38</v>
      </c>
      <c r="M40" s="8" t="s">
        <v>24</v>
      </c>
      <c r="N40" s="8" t="s">
        <v>128</v>
      </c>
      <c r="O40" s="8">
        <v>0</v>
      </c>
      <c r="P40" s="8">
        <v>0</v>
      </c>
      <c r="Q40" s="6">
        <v>1</v>
      </c>
      <c r="R40" s="6">
        <v>1</v>
      </c>
      <c r="S40" s="6">
        <v>10999</v>
      </c>
      <c r="T40" s="6">
        <f>Data_1[[#This Row],[سعر البيع ]]*Data_1[[#This Row],[جميع الكميات]]</f>
        <v>10999</v>
      </c>
      <c r="U40" s="6">
        <v>10999</v>
      </c>
      <c r="V40" s="8" t="s">
        <v>26</v>
      </c>
      <c r="W40" s="15">
        <v>45548</v>
      </c>
      <c r="X40" s="15">
        <v>45565</v>
      </c>
      <c r="Y40" s="15">
        <v>45581</v>
      </c>
      <c r="Z40" s="8" t="s">
        <v>27</v>
      </c>
      <c r="AA40" s="8" t="s">
        <v>28</v>
      </c>
      <c r="AB40" s="6">
        <v>-16</v>
      </c>
      <c r="AC40" s="6" t="str">
        <f>TEXT(Data_1[[#This Row],[ميعاد الطلب]],"MMMM")</f>
        <v>September</v>
      </c>
      <c r="AD40" s="8" t="s">
        <v>29</v>
      </c>
    </row>
    <row r="41" spans="2:30" x14ac:dyDescent="0.3">
      <c r="B41" s="6">
        <v>41</v>
      </c>
      <c r="C41" s="6">
        <v>1480814</v>
      </c>
      <c r="D41" s="6">
        <v>1223964</v>
      </c>
      <c r="E41" s="8" t="s">
        <v>253</v>
      </c>
      <c r="F41" s="8" t="s">
        <v>237</v>
      </c>
      <c r="G41" s="6">
        <v>1</v>
      </c>
      <c r="H41" s="8" t="s">
        <v>129</v>
      </c>
      <c r="I41" s="8" t="s">
        <v>21</v>
      </c>
      <c r="J41" s="8" t="s">
        <v>104</v>
      </c>
      <c r="K41" s="8" t="s">
        <v>22</v>
      </c>
      <c r="L41" s="8" t="s">
        <v>38</v>
      </c>
      <c r="M41" s="8" t="s">
        <v>39</v>
      </c>
      <c r="N41" s="8" t="s">
        <v>130</v>
      </c>
      <c r="O41" s="8">
        <v>0</v>
      </c>
      <c r="P41" s="8">
        <v>0</v>
      </c>
      <c r="Q41" s="6">
        <v>1</v>
      </c>
      <c r="R41" s="6">
        <v>1</v>
      </c>
      <c r="S41" s="6">
        <v>13099</v>
      </c>
      <c r="T41" s="6">
        <f>Data_1[[#This Row],[سعر البيع ]]*Data_1[[#This Row],[جميع الكميات]]</f>
        <v>13099</v>
      </c>
      <c r="U41" s="6">
        <v>13099</v>
      </c>
      <c r="V41" s="8" t="s">
        <v>26</v>
      </c>
      <c r="W41" s="15">
        <v>45548</v>
      </c>
      <c r="X41" s="15">
        <v>45565</v>
      </c>
      <c r="Y41" s="15">
        <v>45568</v>
      </c>
      <c r="Z41" s="8" t="s">
        <v>27</v>
      </c>
      <c r="AA41" s="8" t="s">
        <v>28</v>
      </c>
      <c r="AB41" s="6">
        <v>-3</v>
      </c>
      <c r="AC41" s="6" t="str">
        <f>TEXT(Data_1[[#This Row],[ميعاد الطلب]],"MMMM")</f>
        <v>September</v>
      </c>
      <c r="AD41" s="8" t="s">
        <v>29</v>
      </c>
    </row>
    <row r="42" spans="2:30" x14ac:dyDescent="0.3">
      <c r="B42" s="6">
        <v>42</v>
      </c>
      <c r="C42" s="6">
        <v>1492471</v>
      </c>
      <c r="D42" s="6">
        <v>1227052</v>
      </c>
      <c r="E42" s="8" t="s">
        <v>254</v>
      </c>
      <c r="F42" s="8" t="s">
        <v>237</v>
      </c>
      <c r="G42" s="6">
        <v>1</v>
      </c>
      <c r="H42" s="8" t="s">
        <v>60</v>
      </c>
      <c r="I42" s="8" t="s">
        <v>21</v>
      </c>
      <c r="J42" s="8" t="s">
        <v>120</v>
      </c>
      <c r="K42" s="8" t="s">
        <v>22</v>
      </c>
      <c r="L42" s="8" t="s">
        <v>38</v>
      </c>
      <c r="M42" s="8" t="s">
        <v>131</v>
      </c>
      <c r="N42" s="8" t="s">
        <v>132</v>
      </c>
      <c r="O42" s="8">
        <v>0</v>
      </c>
      <c r="P42" s="8">
        <v>0</v>
      </c>
      <c r="Q42" s="6">
        <v>1</v>
      </c>
      <c r="R42" s="6">
        <v>1</v>
      </c>
      <c r="S42" s="6">
        <v>13849</v>
      </c>
      <c r="T42" s="6">
        <f>Data_1[[#This Row],[سعر البيع ]]*Data_1[[#This Row],[جميع الكميات]]</f>
        <v>13849</v>
      </c>
      <c r="U42" s="6">
        <v>13849</v>
      </c>
      <c r="V42" s="8" t="s">
        <v>26</v>
      </c>
      <c r="W42" s="15">
        <v>45548</v>
      </c>
      <c r="X42" s="15">
        <v>45565</v>
      </c>
      <c r="Y42" s="15">
        <v>45585</v>
      </c>
      <c r="Z42" s="8" t="s">
        <v>67</v>
      </c>
      <c r="AA42" s="8" t="s">
        <v>28</v>
      </c>
      <c r="AB42" s="6">
        <v>-20</v>
      </c>
      <c r="AC42" s="6" t="str">
        <f>TEXT(Data_1[[#This Row],[ميعاد الطلب]],"MMMM")</f>
        <v>September</v>
      </c>
      <c r="AD42" s="8" t="s">
        <v>29</v>
      </c>
    </row>
    <row r="43" spans="2:30" x14ac:dyDescent="0.3">
      <c r="B43" s="6">
        <v>43</v>
      </c>
      <c r="C43" s="6">
        <v>1507912</v>
      </c>
      <c r="D43" s="6">
        <v>1230527</v>
      </c>
      <c r="E43" s="8" t="s">
        <v>255</v>
      </c>
      <c r="F43" s="8" t="s">
        <v>237</v>
      </c>
      <c r="G43" s="6">
        <v>1</v>
      </c>
      <c r="H43" s="8" t="s">
        <v>133</v>
      </c>
      <c r="I43" s="8" t="s">
        <v>21</v>
      </c>
      <c r="J43" s="8" t="s">
        <v>53</v>
      </c>
      <c r="K43" s="8" t="s">
        <v>69</v>
      </c>
      <c r="L43" s="8" t="s">
        <v>54</v>
      </c>
      <c r="M43" s="8" t="s">
        <v>33</v>
      </c>
      <c r="N43" s="8" t="s">
        <v>134</v>
      </c>
      <c r="O43" s="8">
        <v>0</v>
      </c>
      <c r="P43" s="8">
        <v>0</v>
      </c>
      <c r="Q43" s="6">
        <v>1</v>
      </c>
      <c r="R43" s="6">
        <v>1</v>
      </c>
      <c r="S43" s="6">
        <v>21999</v>
      </c>
      <c r="T43" s="6">
        <f>Data_1[[#This Row],[سعر البيع ]]*Data_1[[#This Row],[جميع الكميات]]</f>
        <v>21999</v>
      </c>
      <c r="U43" s="6">
        <v>21999</v>
      </c>
      <c r="V43" s="8" t="s">
        <v>26</v>
      </c>
      <c r="W43" s="15">
        <v>45548</v>
      </c>
      <c r="X43" s="15">
        <v>45565</v>
      </c>
      <c r="Y43" s="15">
        <v>45557</v>
      </c>
      <c r="Z43" s="8" t="s">
        <v>67</v>
      </c>
      <c r="AA43" s="8" t="s">
        <v>28</v>
      </c>
      <c r="AB43" s="6">
        <v>8</v>
      </c>
      <c r="AC43" s="6" t="str">
        <f>TEXT(Data_1[[#This Row],[ميعاد الطلب]],"MMMM")</f>
        <v>September</v>
      </c>
      <c r="AD43" s="8" t="s">
        <v>49</v>
      </c>
    </row>
    <row r="44" spans="2:30" x14ac:dyDescent="0.3">
      <c r="B44" s="6">
        <v>44</v>
      </c>
      <c r="C44" s="6">
        <v>1525747</v>
      </c>
      <c r="D44" s="6">
        <v>1234936</v>
      </c>
      <c r="E44" s="8" t="s">
        <v>256</v>
      </c>
      <c r="F44" s="8" t="s">
        <v>237</v>
      </c>
      <c r="G44" s="6">
        <v>1</v>
      </c>
      <c r="H44" s="8" t="s">
        <v>60</v>
      </c>
      <c r="I44" s="8" t="s">
        <v>21</v>
      </c>
      <c r="J44" s="8" t="s">
        <v>120</v>
      </c>
      <c r="K44" s="8" t="s">
        <v>22</v>
      </c>
      <c r="L44" s="8" t="s">
        <v>38</v>
      </c>
      <c r="M44" s="8" t="s">
        <v>24</v>
      </c>
      <c r="N44" s="8" t="s">
        <v>128</v>
      </c>
      <c r="O44" s="8">
        <v>0</v>
      </c>
      <c r="P44" s="8">
        <v>0</v>
      </c>
      <c r="Q44" s="6">
        <v>1</v>
      </c>
      <c r="R44" s="6">
        <v>1</v>
      </c>
      <c r="S44" s="6">
        <v>10999</v>
      </c>
      <c r="T44" s="6">
        <f>Data_1[[#This Row],[سعر البيع ]]*Data_1[[#This Row],[جميع الكميات]]</f>
        <v>10999</v>
      </c>
      <c r="U44" s="6">
        <v>10999</v>
      </c>
      <c r="V44" s="8" t="s">
        <v>26</v>
      </c>
      <c r="W44" s="15">
        <v>45548</v>
      </c>
      <c r="X44" s="15">
        <v>45565</v>
      </c>
      <c r="Y44" s="15">
        <v>45580</v>
      </c>
      <c r="Z44" s="8" t="s">
        <v>67</v>
      </c>
      <c r="AA44" s="8" t="s">
        <v>28</v>
      </c>
      <c r="AB44" s="6">
        <v>-15</v>
      </c>
      <c r="AC44" s="6" t="str">
        <f>TEXT(Data_1[[#This Row],[ميعاد الطلب]],"MMMM")</f>
        <v>September</v>
      </c>
      <c r="AD44" s="8" t="s">
        <v>29</v>
      </c>
    </row>
    <row r="45" spans="2:30" x14ac:dyDescent="0.3">
      <c r="B45" s="6">
        <v>45</v>
      </c>
      <c r="C45" s="6">
        <v>1536313</v>
      </c>
      <c r="D45" s="6">
        <v>1237601</v>
      </c>
      <c r="E45" s="8" t="s">
        <v>257</v>
      </c>
      <c r="F45" s="8" t="s">
        <v>237</v>
      </c>
      <c r="G45" s="6">
        <v>1</v>
      </c>
      <c r="H45" s="8" t="s">
        <v>91</v>
      </c>
      <c r="I45" s="8" t="s">
        <v>21</v>
      </c>
      <c r="J45" s="8" t="s">
        <v>53</v>
      </c>
      <c r="K45" s="8" t="s">
        <v>22</v>
      </c>
      <c r="L45" s="8" t="s">
        <v>114</v>
      </c>
      <c r="M45" s="8" t="s">
        <v>33</v>
      </c>
      <c r="N45" s="8" t="s">
        <v>135</v>
      </c>
      <c r="O45" s="8">
        <v>0</v>
      </c>
      <c r="P45" s="8">
        <v>0</v>
      </c>
      <c r="Q45" s="6">
        <v>1</v>
      </c>
      <c r="R45" s="6">
        <v>1</v>
      </c>
      <c r="S45" s="6">
        <v>17249</v>
      </c>
      <c r="T45" s="6">
        <f>Data_1[[#This Row],[سعر البيع ]]*Data_1[[#This Row],[جميع الكميات]]</f>
        <v>17249</v>
      </c>
      <c r="U45" s="6">
        <v>17249</v>
      </c>
      <c r="V45" s="8" t="s">
        <v>26</v>
      </c>
      <c r="W45" s="15">
        <v>45548</v>
      </c>
      <c r="X45" s="15">
        <v>45565</v>
      </c>
      <c r="Y45" s="15">
        <v>45569</v>
      </c>
      <c r="Z45" s="8" t="s">
        <v>67</v>
      </c>
      <c r="AA45" s="8" t="s">
        <v>28</v>
      </c>
      <c r="AB45" s="6">
        <v>-4</v>
      </c>
      <c r="AC45" s="6" t="str">
        <f>TEXT(Data_1[[#This Row],[ميعاد الطلب]],"MMMM")</f>
        <v>September</v>
      </c>
      <c r="AD45" s="8" t="s">
        <v>29</v>
      </c>
    </row>
    <row r="46" spans="2:30" x14ac:dyDescent="0.3">
      <c r="B46" s="6">
        <v>46</v>
      </c>
      <c r="C46" s="6">
        <v>1505609</v>
      </c>
      <c r="D46" s="6">
        <v>1230031</v>
      </c>
      <c r="E46" s="8" t="s">
        <v>258</v>
      </c>
      <c r="F46" s="8" t="s">
        <v>237</v>
      </c>
      <c r="G46" s="6">
        <v>1</v>
      </c>
      <c r="H46" s="8" t="s">
        <v>136</v>
      </c>
      <c r="I46" s="8" t="s">
        <v>21</v>
      </c>
      <c r="J46" s="8" t="s">
        <v>120</v>
      </c>
      <c r="K46" s="8" t="s">
        <v>46</v>
      </c>
      <c r="L46" s="8" t="s">
        <v>78</v>
      </c>
      <c r="M46" s="8" t="s">
        <v>33</v>
      </c>
      <c r="N46" s="8" t="s">
        <v>137</v>
      </c>
      <c r="O46" s="8">
        <v>0</v>
      </c>
      <c r="P46" s="8">
        <v>0</v>
      </c>
      <c r="Q46" s="6">
        <v>1</v>
      </c>
      <c r="R46" s="6">
        <v>1</v>
      </c>
      <c r="S46" s="6">
        <v>8349</v>
      </c>
      <c r="T46" s="6">
        <f>Data_1[[#This Row],[سعر البيع ]]*Data_1[[#This Row],[جميع الكميات]]</f>
        <v>8349</v>
      </c>
      <c r="U46" s="6">
        <v>8349</v>
      </c>
      <c r="V46" s="8" t="s">
        <v>26</v>
      </c>
      <c r="W46" s="15">
        <v>45549</v>
      </c>
      <c r="X46" s="15">
        <v>45581</v>
      </c>
      <c r="Y46" s="15">
        <v>45586</v>
      </c>
      <c r="Z46" s="8" t="s">
        <v>67</v>
      </c>
      <c r="AA46" s="8" t="s">
        <v>28</v>
      </c>
      <c r="AB46" s="6">
        <v>-5</v>
      </c>
      <c r="AC46" s="6" t="str">
        <f>TEXT(Data_1[[#This Row],[ميعاد الطلب]],"MMMM")</f>
        <v>September</v>
      </c>
      <c r="AD46" s="8" t="s">
        <v>29</v>
      </c>
    </row>
    <row r="47" spans="2:30" x14ac:dyDescent="0.3">
      <c r="B47" s="6">
        <v>47</v>
      </c>
      <c r="C47" s="6">
        <v>1612229</v>
      </c>
      <c r="D47" s="6">
        <v>1254076</v>
      </c>
      <c r="E47" s="8" t="s">
        <v>259</v>
      </c>
      <c r="F47" s="8" t="s">
        <v>237</v>
      </c>
      <c r="G47" s="6">
        <v>1</v>
      </c>
      <c r="H47" s="8" t="s">
        <v>77</v>
      </c>
      <c r="I47" s="8" t="s">
        <v>21</v>
      </c>
      <c r="J47" s="8" t="s">
        <v>53</v>
      </c>
      <c r="K47" s="8" t="s">
        <v>46</v>
      </c>
      <c r="L47" s="8" t="s">
        <v>47</v>
      </c>
      <c r="M47" s="8" t="s">
        <v>33</v>
      </c>
      <c r="N47" s="8" t="s">
        <v>48</v>
      </c>
      <c r="O47" s="8">
        <v>0</v>
      </c>
      <c r="P47" s="8">
        <v>0</v>
      </c>
      <c r="Q47" s="6">
        <v>1</v>
      </c>
      <c r="R47" s="6">
        <v>1</v>
      </c>
      <c r="S47" s="6">
        <v>7849</v>
      </c>
      <c r="T47" s="6">
        <f>Data_1[[#This Row],[سعر البيع ]]*Data_1[[#This Row],[جميع الكميات]]</f>
        <v>7849</v>
      </c>
      <c r="U47" s="6">
        <v>7849</v>
      </c>
      <c r="V47" s="8" t="s">
        <v>26</v>
      </c>
      <c r="W47" s="15">
        <v>45549</v>
      </c>
      <c r="X47" s="15">
        <v>45594</v>
      </c>
      <c r="Y47" s="15">
        <v>45595</v>
      </c>
      <c r="Z47" s="8" t="s">
        <v>67</v>
      </c>
      <c r="AA47" s="8" t="s">
        <v>28</v>
      </c>
      <c r="AB47" s="6">
        <v>-1</v>
      </c>
      <c r="AC47" s="6" t="str">
        <f>TEXT(Data_1[[#This Row],[ميعاد الطلب]],"MMMM")</f>
        <v>September</v>
      </c>
      <c r="AD47" s="8" t="s">
        <v>29</v>
      </c>
    </row>
    <row r="48" spans="2:30" x14ac:dyDescent="0.3">
      <c r="B48" s="6">
        <v>48</v>
      </c>
      <c r="C48" s="6">
        <v>1673771</v>
      </c>
      <c r="D48" s="6">
        <v>1269559</v>
      </c>
      <c r="E48" s="8" t="s">
        <v>138</v>
      </c>
      <c r="F48" s="8" t="s">
        <v>237</v>
      </c>
      <c r="G48" s="6">
        <v>1</v>
      </c>
      <c r="H48" s="8" t="s">
        <v>60</v>
      </c>
      <c r="I48" s="8" t="s">
        <v>21</v>
      </c>
      <c r="J48" s="8" t="s">
        <v>120</v>
      </c>
      <c r="K48" s="8" t="s">
        <v>22</v>
      </c>
      <c r="L48" s="8" t="s">
        <v>23</v>
      </c>
      <c r="M48" s="8" t="s">
        <v>33</v>
      </c>
      <c r="N48" s="8" t="s">
        <v>139</v>
      </c>
      <c r="O48" s="8">
        <v>0</v>
      </c>
      <c r="P48" s="8">
        <v>0</v>
      </c>
      <c r="Q48" s="6">
        <v>1</v>
      </c>
      <c r="R48" s="6">
        <v>1</v>
      </c>
      <c r="S48" s="6">
        <v>9399</v>
      </c>
      <c r="T48" s="6">
        <f>Data_1[[#This Row],[سعر البيع ]]*Data_1[[#This Row],[جميع الكميات]]</f>
        <v>9399</v>
      </c>
      <c r="U48" s="6">
        <v>9399</v>
      </c>
      <c r="V48" s="8" t="s">
        <v>26</v>
      </c>
      <c r="W48" s="15">
        <v>45549</v>
      </c>
      <c r="X48" s="15">
        <v>45594</v>
      </c>
      <c r="Y48" s="15">
        <v>45580</v>
      </c>
      <c r="Z48" s="8" t="s">
        <v>67</v>
      </c>
      <c r="AA48" s="8" t="s">
        <v>28</v>
      </c>
      <c r="AB48" s="6">
        <v>14</v>
      </c>
      <c r="AC48" s="6" t="str">
        <f>TEXT(Data_1[[#This Row],[ميعاد الطلب]],"MMMM")</f>
        <v>September</v>
      </c>
      <c r="AD48" s="8" t="s">
        <v>49</v>
      </c>
    </row>
    <row r="49" spans="2:30" x14ac:dyDescent="0.3">
      <c r="B49" s="6">
        <v>49</v>
      </c>
      <c r="C49" s="6">
        <v>1667352</v>
      </c>
      <c r="D49" s="6">
        <v>1267819</v>
      </c>
      <c r="E49" s="8" t="s">
        <v>260</v>
      </c>
      <c r="F49" s="8" t="s">
        <v>237</v>
      </c>
      <c r="G49" s="6">
        <v>1</v>
      </c>
      <c r="H49" s="8" t="s">
        <v>140</v>
      </c>
      <c r="I49" s="8" t="s">
        <v>21</v>
      </c>
      <c r="J49" s="8" t="s">
        <v>120</v>
      </c>
      <c r="K49" s="8" t="s">
        <v>22</v>
      </c>
      <c r="L49" s="8" t="s">
        <v>61</v>
      </c>
      <c r="M49" s="8" t="s">
        <v>33</v>
      </c>
      <c r="N49" s="8" t="s">
        <v>141</v>
      </c>
      <c r="O49" s="8">
        <v>0</v>
      </c>
      <c r="P49" s="8">
        <v>0</v>
      </c>
      <c r="Q49" s="6">
        <v>1</v>
      </c>
      <c r="R49" s="6">
        <v>1</v>
      </c>
      <c r="S49" s="6">
        <v>11817</v>
      </c>
      <c r="T49" s="6">
        <f>Data_1[[#This Row],[سعر البيع ]]*Data_1[[#This Row],[جميع الكميات]]</f>
        <v>11817</v>
      </c>
      <c r="U49" s="6">
        <v>11817</v>
      </c>
      <c r="V49" s="8" t="s">
        <v>26</v>
      </c>
      <c r="W49" s="15">
        <v>45549</v>
      </c>
      <c r="X49" s="15">
        <v>45594</v>
      </c>
      <c r="Y49" s="15">
        <v>45580</v>
      </c>
      <c r="Z49" s="8" t="s">
        <v>67</v>
      </c>
      <c r="AA49" s="8" t="s">
        <v>28</v>
      </c>
      <c r="AB49" s="6">
        <v>14</v>
      </c>
      <c r="AC49" s="6" t="str">
        <f>TEXT(Data_1[[#This Row],[ميعاد الطلب]],"MMMM")</f>
        <v>September</v>
      </c>
      <c r="AD49" s="8" t="s">
        <v>49</v>
      </c>
    </row>
    <row r="50" spans="2:30" x14ac:dyDescent="0.3">
      <c r="B50" s="6">
        <v>50</v>
      </c>
      <c r="C50" s="6">
        <v>1649781</v>
      </c>
      <c r="D50" s="6">
        <v>1263160</v>
      </c>
      <c r="E50" s="8" t="s">
        <v>261</v>
      </c>
      <c r="F50" s="8" t="s">
        <v>237</v>
      </c>
      <c r="G50" s="6">
        <v>1</v>
      </c>
      <c r="H50" s="8" t="s">
        <v>126</v>
      </c>
      <c r="I50" s="8" t="s">
        <v>21</v>
      </c>
      <c r="J50" s="8" t="s">
        <v>53</v>
      </c>
      <c r="K50" s="8" t="s">
        <v>46</v>
      </c>
      <c r="L50" s="8" t="s">
        <v>108</v>
      </c>
      <c r="M50" s="8" t="s">
        <v>33</v>
      </c>
      <c r="N50" s="8" t="s">
        <v>142</v>
      </c>
      <c r="O50" s="8">
        <v>0</v>
      </c>
      <c r="P50" s="8">
        <v>0</v>
      </c>
      <c r="Q50" s="6">
        <v>1</v>
      </c>
      <c r="R50" s="6">
        <v>1</v>
      </c>
      <c r="S50" s="6">
        <v>8349</v>
      </c>
      <c r="T50" s="6">
        <f>Data_1[[#This Row],[سعر البيع ]]*Data_1[[#This Row],[جميع الكميات]]</f>
        <v>8349</v>
      </c>
      <c r="U50" s="6">
        <v>8349</v>
      </c>
      <c r="V50" s="8" t="s">
        <v>26</v>
      </c>
      <c r="W50" s="15">
        <v>45549</v>
      </c>
      <c r="X50" s="15">
        <v>45594</v>
      </c>
      <c r="Y50" s="15">
        <v>45584</v>
      </c>
      <c r="Z50" s="8" t="s">
        <v>67</v>
      </c>
      <c r="AA50" s="8" t="s">
        <v>28</v>
      </c>
      <c r="AB50" s="6">
        <v>10</v>
      </c>
      <c r="AC50" s="6" t="str">
        <f>TEXT(Data_1[[#This Row],[ميعاد الطلب]],"MMMM")</f>
        <v>September</v>
      </c>
      <c r="AD50" s="8" t="s">
        <v>49</v>
      </c>
    </row>
    <row r="51" spans="2:30" x14ac:dyDescent="0.3">
      <c r="B51" s="6">
        <v>51</v>
      </c>
      <c r="C51" s="6">
        <v>1681476</v>
      </c>
      <c r="D51" s="6">
        <v>1271813</v>
      </c>
      <c r="E51" s="8" t="s">
        <v>262</v>
      </c>
      <c r="F51" s="8" t="s">
        <v>237</v>
      </c>
      <c r="G51" s="6">
        <v>1</v>
      </c>
      <c r="H51" s="8" t="s">
        <v>143</v>
      </c>
      <c r="I51" s="8" t="s">
        <v>21</v>
      </c>
      <c r="J51" s="8" t="s">
        <v>53</v>
      </c>
      <c r="K51" s="8" t="s">
        <v>22</v>
      </c>
      <c r="L51" s="8" t="s">
        <v>61</v>
      </c>
      <c r="M51" s="8" t="s">
        <v>24</v>
      </c>
      <c r="N51" s="8" t="s">
        <v>144</v>
      </c>
      <c r="O51" s="8">
        <v>1</v>
      </c>
      <c r="P51" s="8">
        <v>17886</v>
      </c>
      <c r="Q51" s="6">
        <v>1</v>
      </c>
      <c r="R51" s="6">
        <v>0</v>
      </c>
      <c r="S51" s="6">
        <v>0</v>
      </c>
      <c r="T51" s="6">
        <f>Data_1[[#This Row],[سعر البيع ]]*Data_1[[#This Row],[جميع الكميات]]</f>
        <v>17886</v>
      </c>
      <c r="U51" s="6">
        <v>17886</v>
      </c>
      <c r="V51" s="8" t="s">
        <v>26</v>
      </c>
      <c r="W51" s="15">
        <v>45549</v>
      </c>
      <c r="X51" s="15">
        <v>45594</v>
      </c>
      <c r="Y51" s="15"/>
      <c r="Z51" s="8" t="s">
        <v>76</v>
      </c>
      <c r="AA51" s="8" t="s">
        <v>42</v>
      </c>
      <c r="AB51" s="6" t="s">
        <v>42</v>
      </c>
      <c r="AC51" s="6" t="str">
        <f>TEXT(Data_1[[#This Row],[ميعاد الطلب]],"MMMM")</f>
        <v>September</v>
      </c>
      <c r="AD51" s="8" t="s">
        <v>42</v>
      </c>
    </row>
    <row r="52" spans="2:30" x14ac:dyDescent="0.3">
      <c r="B52" s="6">
        <v>52</v>
      </c>
      <c r="C52" s="6">
        <v>1681477</v>
      </c>
      <c r="D52" s="6">
        <v>1271813</v>
      </c>
      <c r="E52" s="8" t="s">
        <v>262</v>
      </c>
      <c r="F52" s="8" t="s">
        <v>237</v>
      </c>
      <c r="G52" s="6">
        <v>0</v>
      </c>
      <c r="H52" s="8" t="s">
        <v>143</v>
      </c>
      <c r="I52" s="8" t="s">
        <v>21</v>
      </c>
      <c r="J52" s="8" t="s">
        <v>53</v>
      </c>
      <c r="K52" s="8" t="s">
        <v>22</v>
      </c>
      <c r="L52" s="8" t="s">
        <v>61</v>
      </c>
      <c r="M52" s="8" t="s">
        <v>24</v>
      </c>
      <c r="N52" s="8" t="s">
        <v>144</v>
      </c>
      <c r="O52" s="8">
        <v>1</v>
      </c>
      <c r="P52" s="8">
        <v>17886</v>
      </c>
      <c r="Q52" s="6">
        <v>1</v>
      </c>
      <c r="R52" s="6">
        <v>0</v>
      </c>
      <c r="S52" s="6">
        <v>0</v>
      </c>
      <c r="T52" s="6">
        <f>Data_1[[#This Row],[سعر البيع ]]*Data_1[[#This Row],[جميع الكميات]]</f>
        <v>17886</v>
      </c>
      <c r="U52" s="6">
        <v>17886</v>
      </c>
      <c r="V52" s="8" t="s">
        <v>26</v>
      </c>
      <c r="W52" s="15">
        <v>45549</v>
      </c>
      <c r="X52" s="15">
        <v>45594</v>
      </c>
      <c r="Y52" s="15"/>
      <c r="Z52" s="8" t="s">
        <v>76</v>
      </c>
      <c r="AA52" s="8" t="s">
        <v>42</v>
      </c>
      <c r="AB52" s="6" t="s">
        <v>42</v>
      </c>
      <c r="AC52" s="6" t="str">
        <f>TEXT(Data_1[[#This Row],[ميعاد الطلب]],"MMMM")</f>
        <v>September</v>
      </c>
      <c r="AD52" s="8" t="s">
        <v>42</v>
      </c>
    </row>
    <row r="53" spans="2:30" x14ac:dyDescent="0.3">
      <c r="B53" s="6">
        <v>53</v>
      </c>
      <c r="C53" s="6">
        <v>1677530</v>
      </c>
      <c r="D53" s="6">
        <v>1270704</v>
      </c>
      <c r="E53" s="8" t="s">
        <v>145</v>
      </c>
      <c r="F53" s="8" t="s">
        <v>237</v>
      </c>
      <c r="G53" s="6">
        <v>1</v>
      </c>
      <c r="H53" s="8" t="s">
        <v>85</v>
      </c>
      <c r="I53" s="8" t="s">
        <v>21</v>
      </c>
      <c r="J53" s="8" t="s">
        <v>53</v>
      </c>
      <c r="K53" s="8" t="s">
        <v>22</v>
      </c>
      <c r="L53" s="8" t="s">
        <v>61</v>
      </c>
      <c r="M53" s="8" t="s">
        <v>24</v>
      </c>
      <c r="N53" s="8" t="s">
        <v>146</v>
      </c>
      <c r="O53" s="8">
        <v>0</v>
      </c>
      <c r="P53" s="8">
        <v>0</v>
      </c>
      <c r="Q53" s="6">
        <v>1</v>
      </c>
      <c r="R53" s="6">
        <v>1</v>
      </c>
      <c r="S53" s="6">
        <v>10987</v>
      </c>
      <c r="T53" s="6">
        <f>Data_1[[#This Row],[سعر البيع ]]*Data_1[[#This Row],[جميع الكميات]]</f>
        <v>10987</v>
      </c>
      <c r="U53" s="6">
        <v>10987</v>
      </c>
      <c r="V53" s="8" t="s">
        <v>26</v>
      </c>
      <c r="W53" s="15">
        <v>45549</v>
      </c>
      <c r="X53" s="15">
        <v>45594</v>
      </c>
      <c r="Y53" s="15">
        <v>45578</v>
      </c>
      <c r="Z53" s="8" t="s">
        <v>67</v>
      </c>
      <c r="AA53" s="8" t="s">
        <v>28</v>
      </c>
      <c r="AB53" s="6">
        <v>16</v>
      </c>
      <c r="AC53" s="6" t="str">
        <f>TEXT(Data_1[[#This Row],[ميعاد الطلب]],"MMMM")</f>
        <v>September</v>
      </c>
      <c r="AD53" s="8" t="s">
        <v>49</v>
      </c>
    </row>
    <row r="54" spans="2:30" x14ac:dyDescent="0.3">
      <c r="B54" s="6">
        <v>54</v>
      </c>
      <c r="C54" s="6">
        <v>1677528</v>
      </c>
      <c r="D54" s="6">
        <v>1270704</v>
      </c>
      <c r="E54" s="8" t="s">
        <v>145</v>
      </c>
      <c r="F54" s="8" t="s">
        <v>237</v>
      </c>
      <c r="G54" s="6">
        <v>0</v>
      </c>
      <c r="H54" s="8" t="s">
        <v>85</v>
      </c>
      <c r="I54" s="8" t="s">
        <v>21</v>
      </c>
      <c r="J54" s="8" t="s">
        <v>53</v>
      </c>
      <c r="K54" s="8" t="s">
        <v>22</v>
      </c>
      <c r="L54" s="8" t="s">
        <v>61</v>
      </c>
      <c r="M54" s="8" t="s">
        <v>24</v>
      </c>
      <c r="N54" s="8" t="s">
        <v>147</v>
      </c>
      <c r="O54" s="8">
        <v>0</v>
      </c>
      <c r="P54" s="8">
        <v>0</v>
      </c>
      <c r="Q54" s="6">
        <v>1</v>
      </c>
      <c r="R54" s="6">
        <v>1</v>
      </c>
      <c r="S54" s="6">
        <v>10987</v>
      </c>
      <c r="T54" s="6">
        <f>Data_1[[#This Row],[سعر البيع ]]*Data_1[[#This Row],[جميع الكميات]]</f>
        <v>10987</v>
      </c>
      <c r="U54" s="6">
        <v>10987</v>
      </c>
      <c r="V54" s="8" t="s">
        <v>26</v>
      </c>
      <c r="W54" s="15">
        <v>45549</v>
      </c>
      <c r="X54" s="15">
        <v>45594</v>
      </c>
      <c r="Y54" s="15">
        <v>45578</v>
      </c>
      <c r="Z54" s="8" t="s">
        <v>67</v>
      </c>
      <c r="AA54" s="8" t="s">
        <v>28</v>
      </c>
      <c r="AB54" s="6">
        <v>16</v>
      </c>
      <c r="AC54" s="6" t="str">
        <f>TEXT(Data_1[[#This Row],[ميعاد الطلب]],"MMMM")</f>
        <v>September</v>
      </c>
      <c r="AD54" s="8" t="s">
        <v>49</v>
      </c>
    </row>
    <row r="55" spans="2:30" x14ac:dyDescent="0.3">
      <c r="B55" s="6">
        <v>55</v>
      </c>
      <c r="C55" s="6">
        <v>1657744</v>
      </c>
      <c r="D55" s="6">
        <v>1265268</v>
      </c>
      <c r="E55" s="8" t="s">
        <v>263</v>
      </c>
      <c r="F55" s="8" t="s">
        <v>237</v>
      </c>
      <c r="G55" s="6">
        <v>1</v>
      </c>
      <c r="H55" s="8" t="s">
        <v>148</v>
      </c>
      <c r="I55" s="8" t="s">
        <v>21</v>
      </c>
      <c r="J55" s="8" t="s">
        <v>99</v>
      </c>
      <c r="K55" s="8" t="s">
        <v>46</v>
      </c>
      <c r="L55" s="8" t="s">
        <v>78</v>
      </c>
      <c r="M55" s="8" t="s">
        <v>33</v>
      </c>
      <c r="N55" s="8" t="s">
        <v>79</v>
      </c>
      <c r="O55" s="8">
        <v>0</v>
      </c>
      <c r="P55" s="8">
        <v>0</v>
      </c>
      <c r="Q55" s="6">
        <v>1</v>
      </c>
      <c r="R55" s="6">
        <v>1</v>
      </c>
      <c r="S55" s="6">
        <v>10319</v>
      </c>
      <c r="T55" s="6">
        <f>Data_1[[#This Row],[سعر البيع ]]*Data_1[[#This Row],[جميع الكميات]]</f>
        <v>10319</v>
      </c>
      <c r="U55" s="6">
        <v>10319</v>
      </c>
      <c r="V55" s="8" t="s">
        <v>26</v>
      </c>
      <c r="W55" s="15">
        <v>45549</v>
      </c>
      <c r="X55" s="15">
        <v>45594</v>
      </c>
      <c r="Y55" s="15">
        <v>45584</v>
      </c>
      <c r="Z55" s="8" t="s">
        <v>67</v>
      </c>
      <c r="AA55" s="8" t="s">
        <v>28</v>
      </c>
      <c r="AB55" s="6">
        <v>10</v>
      </c>
      <c r="AC55" s="6" t="str">
        <f>TEXT(Data_1[[#This Row],[ميعاد الطلب]],"MMMM")</f>
        <v>September</v>
      </c>
      <c r="AD55" s="8" t="s">
        <v>49</v>
      </c>
    </row>
    <row r="56" spans="2:30" x14ac:dyDescent="0.3">
      <c r="B56" s="6">
        <v>56</v>
      </c>
      <c r="C56" s="6">
        <v>1610613</v>
      </c>
      <c r="D56" s="6">
        <v>1253646</v>
      </c>
      <c r="E56" s="8" t="s">
        <v>264</v>
      </c>
      <c r="F56" s="8" t="s">
        <v>237</v>
      </c>
      <c r="G56" s="6">
        <v>1</v>
      </c>
      <c r="H56" s="8" t="s">
        <v>149</v>
      </c>
      <c r="I56" s="8" t="s">
        <v>21</v>
      </c>
      <c r="J56" s="8" t="s">
        <v>150</v>
      </c>
      <c r="K56" s="8" t="s">
        <v>22</v>
      </c>
      <c r="L56" s="8" t="s">
        <v>38</v>
      </c>
      <c r="M56" s="8" t="s">
        <v>50</v>
      </c>
      <c r="N56" s="8" t="s">
        <v>151</v>
      </c>
      <c r="O56" s="8">
        <v>0</v>
      </c>
      <c r="P56" s="8">
        <v>0</v>
      </c>
      <c r="Q56" s="6">
        <v>1</v>
      </c>
      <c r="R56" s="6">
        <v>1</v>
      </c>
      <c r="S56" s="6">
        <v>12999</v>
      </c>
      <c r="T56" s="6">
        <f>Data_1[[#This Row],[سعر البيع ]]*Data_1[[#This Row],[جميع الكميات]]</f>
        <v>12999</v>
      </c>
      <c r="U56" s="6">
        <v>12999</v>
      </c>
      <c r="V56" s="8" t="s">
        <v>26</v>
      </c>
      <c r="W56" s="15">
        <v>45549</v>
      </c>
      <c r="X56" s="15">
        <v>45616</v>
      </c>
      <c r="Y56" s="15">
        <v>45582</v>
      </c>
      <c r="Z56" s="8" t="s">
        <v>27</v>
      </c>
      <c r="AA56" s="8" t="s">
        <v>28</v>
      </c>
      <c r="AB56" s="6">
        <v>34</v>
      </c>
      <c r="AC56" s="6" t="str">
        <f>TEXT(Data_1[[#This Row],[ميعاد الطلب]],"MMMM")</f>
        <v>September</v>
      </c>
      <c r="AD56" s="8" t="s">
        <v>49</v>
      </c>
    </row>
    <row r="57" spans="2:30" x14ac:dyDescent="0.3">
      <c r="B57" s="6">
        <v>57</v>
      </c>
      <c r="C57" s="6">
        <v>1608468</v>
      </c>
      <c r="D57" s="6">
        <v>1253172</v>
      </c>
      <c r="E57" s="8" t="s">
        <v>152</v>
      </c>
      <c r="F57" s="8" t="s">
        <v>237</v>
      </c>
      <c r="G57" s="6">
        <v>1</v>
      </c>
      <c r="H57" s="8" t="s">
        <v>153</v>
      </c>
      <c r="I57" s="8" t="s">
        <v>21</v>
      </c>
      <c r="J57" s="8" t="s">
        <v>45</v>
      </c>
      <c r="K57" s="8" t="s">
        <v>69</v>
      </c>
      <c r="L57" s="8" t="s">
        <v>54</v>
      </c>
      <c r="M57" s="8" t="s">
        <v>33</v>
      </c>
      <c r="N57" s="8" t="s">
        <v>134</v>
      </c>
      <c r="O57" s="8">
        <v>1</v>
      </c>
      <c r="P57" s="8">
        <v>21999</v>
      </c>
      <c r="Q57" s="6">
        <v>1</v>
      </c>
      <c r="R57" s="6">
        <v>0</v>
      </c>
      <c r="S57" s="6">
        <v>0</v>
      </c>
      <c r="T57" s="6">
        <f>Data_1[[#This Row],[سعر البيع ]]*Data_1[[#This Row],[جميع الكميات]]</f>
        <v>21999</v>
      </c>
      <c r="U57" s="6">
        <v>21999</v>
      </c>
      <c r="V57" s="8" t="s">
        <v>26</v>
      </c>
      <c r="W57" s="15">
        <v>45549</v>
      </c>
      <c r="X57" s="15">
        <v>45616</v>
      </c>
      <c r="Y57" s="15"/>
      <c r="Z57" s="8" t="s">
        <v>76</v>
      </c>
      <c r="AA57" s="8" t="s">
        <v>42</v>
      </c>
      <c r="AB57" s="6" t="s">
        <v>42</v>
      </c>
      <c r="AC57" s="6" t="str">
        <f>TEXT(Data_1[[#This Row],[ميعاد الطلب]],"MMMM")</f>
        <v>September</v>
      </c>
      <c r="AD57" s="8" t="s">
        <v>42</v>
      </c>
    </row>
    <row r="58" spans="2:30" x14ac:dyDescent="0.3">
      <c r="B58" s="6">
        <v>58</v>
      </c>
      <c r="C58" s="6">
        <v>1654554</v>
      </c>
      <c r="D58" s="6">
        <v>1264469</v>
      </c>
      <c r="E58" s="8" t="s">
        <v>265</v>
      </c>
      <c r="F58" s="8" t="s">
        <v>237</v>
      </c>
      <c r="G58" s="6">
        <v>1</v>
      </c>
      <c r="H58" s="8" t="s">
        <v>126</v>
      </c>
      <c r="I58" s="8" t="s">
        <v>21</v>
      </c>
      <c r="J58" s="8" t="s">
        <v>53</v>
      </c>
      <c r="K58" s="8" t="s">
        <v>22</v>
      </c>
      <c r="L58" s="8" t="s">
        <v>38</v>
      </c>
      <c r="M58" s="8" t="s">
        <v>50</v>
      </c>
      <c r="N58" s="8" t="s">
        <v>154</v>
      </c>
      <c r="O58" s="8">
        <v>0</v>
      </c>
      <c r="P58" s="8">
        <v>0</v>
      </c>
      <c r="Q58" s="6">
        <v>1</v>
      </c>
      <c r="R58" s="6">
        <v>1</v>
      </c>
      <c r="S58" s="6">
        <v>12399</v>
      </c>
      <c r="T58" s="6">
        <f>Data_1[[#This Row],[سعر البيع ]]*Data_1[[#This Row],[جميع الكميات]]</f>
        <v>12399</v>
      </c>
      <c r="U58" s="6">
        <v>12399</v>
      </c>
      <c r="V58" s="8" t="s">
        <v>26</v>
      </c>
      <c r="W58" s="15">
        <v>45549</v>
      </c>
      <c r="X58" s="15">
        <v>45616</v>
      </c>
      <c r="Y58" s="15">
        <v>45566</v>
      </c>
      <c r="Z58" s="8" t="s">
        <v>27</v>
      </c>
      <c r="AA58" s="8" t="s">
        <v>28</v>
      </c>
      <c r="AB58" s="6">
        <v>50</v>
      </c>
      <c r="AC58" s="6" t="str">
        <f>TEXT(Data_1[[#This Row],[ميعاد الطلب]],"MMMM")</f>
        <v>September</v>
      </c>
      <c r="AD58" s="8" t="s">
        <v>49</v>
      </c>
    </row>
    <row r="59" spans="2:30" x14ac:dyDescent="0.3">
      <c r="B59" s="6">
        <v>59</v>
      </c>
      <c r="C59" s="6">
        <v>1644504</v>
      </c>
      <c r="D59" s="6">
        <v>1261644</v>
      </c>
      <c r="E59" s="8" t="s">
        <v>155</v>
      </c>
      <c r="F59" s="8" t="s">
        <v>237</v>
      </c>
      <c r="G59" s="6">
        <v>1</v>
      </c>
      <c r="H59" s="8" t="s">
        <v>85</v>
      </c>
      <c r="I59" s="8" t="s">
        <v>21</v>
      </c>
      <c r="J59" s="8" t="s">
        <v>53</v>
      </c>
      <c r="K59" s="8" t="s">
        <v>69</v>
      </c>
      <c r="L59" s="8" t="s">
        <v>54</v>
      </c>
      <c r="M59" s="8" t="s">
        <v>33</v>
      </c>
      <c r="N59" s="8" t="s">
        <v>134</v>
      </c>
      <c r="O59" s="8">
        <v>0</v>
      </c>
      <c r="P59" s="8">
        <v>0</v>
      </c>
      <c r="Q59" s="6">
        <v>1</v>
      </c>
      <c r="R59" s="6">
        <v>1</v>
      </c>
      <c r="S59" s="6">
        <v>21999</v>
      </c>
      <c r="T59" s="6">
        <f>Data_1[[#This Row],[سعر البيع ]]*Data_1[[#This Row],[جميع الكميات]]</f>
        <v>21999</v>
      </c>
      <c r="U59" s="6">
        <v>21999</v>
      </c>
      <c r="V59" s="8" t="s">
        <v>26</v>
      </c>
      <c r="W59" s="15">
        <v>45549</v>
      </c>
      <c r="X59" s="15">
        <v>45616</v>
      </c>
      <c r="Y59" s="15">
        <v>45574</v>
      </c>
      <c r="Z59" s="8" t="s">
        <v>67</v>
      </c>
      <c r="AA59" s="8" t="s">
        <v>28</v>
      </c>
      <c r="AB59" s="6">
        <v>42</v>
      </c>
      <c r="AC59" s="6" t="str">
        <f>TEXT(Data_1[[#This Row],[ميعاد الطلب]],"MMMM")</f>
        <v>September</v>
      </c>
      <c r="AD59" s="8" t="s">
        <v>49</v>
      </c>
    </row>
    <row r="60" spans="2:30" x14ac:dyDescent="0.3">
      <c r="B60" s="6">
        <v>60</v>
      </c>
      <c r="C60" s="6">
        <v>1655447</v>
      </c>
      <c r="D60" s="6">
        <v>1264684</v>
      </c>
      <c r="E60" s="8" t="s">
        <v>266</v>
      </c>
      <c r="F60" s="8" t="s">
        <v>237</v>
      </c>
      <c r="G60" s="6">
        <v>1</v>
      </c>
      <c r="H60" s="8" t="s">
        <v>77</v>
      </c>
      <c r="I60" s="8" t="s">
        <v>21</v>
      </c>
      <c r="J60" s="8" t="s">
        <v>53</v>
      </c>
      <c r="K60" s="8" t="s">
        <v>22</v>
      </c>
      <c r="L60" s="8" t="s">
        <v>38</v>
      </c>
      <c r="M60" s="8" t="s">
        <v>24</v>
      </c>
      <c r="N60" s="8" t="s">
        <v>156</v>
      </c>
      <c r="O60" s="8">
        <v>0</v>
      </c>
      <c r="P60" s="8">
        <v>0</v>
      </c>
      <c r="Q60" s="6">
        <v>1</v>
      </c>
      <c r="R60" s="6">
        <v>1</v>
      </c>
      <c r="S60" s="6">
        <v>10999</v>
      </c>
      <c r="T60" s="6">
        <f>Data_1[[#This Row],[سعر البيع ]]*Data_1[[#This Row],[جميع الكميات]]</f>
        <v>10999</v>
      </c>
      <c r="U60" s="6">
        <v>10999</v>
      </c>
      <c r="V60" s="8" t="s">
        <v>26</v>
      </c>
      <c r="W60" s="15">
        <v>45549</v>
      </c>
      <c r="X60" s="15">
        <v>45616</v>
      </c>
      <c r="Y60" s="15">
        <v>45581</v>
      </c>
      <c r="Z60" s="8" t="s">
        <v>67</v>
      </c>
      <c r="AA60" s="8" t="s">
        <v>28</v>
      </c>
      <c r="AB60" s="6">
        <v>35</v>
      </c>
      <c r="AC60" s="6" t="str">
        <f>TEXT(Data_1[[#This Row],[ميعاد الطلب]],"MMMM")</f>
        <v>September</v>
      </c>
      <c r="AD60" s="8" t="s">
        <v>49</v>
      </c>
    </row>
    <row r="61" spans="2:30" x14ac:dyDescent="0.3">
      <c r="B61" s="6">
        <v>61</v>
      </c>
      <c r="C61" s="6">
        <v>1679731</v>
      </c>
      <c r="D61" s="6">
        <v>1271291</v>
      </c>
      <c r="E61" s="8" t="s">
        <v>157</v>
      </c>
      <c r="F61" s="8" t="s">
        <v>237</v>
      </c>
      <c r="G61" s="6">
        <v>1</v>
      </c>
      <c r="H61" s="8" t="s">
        <v>91</v>
      </c>
      <c r="I61" s="8" t="s">
        <v>21</v>
      </c>
      <c r="J61" s="8" t="s">
        <v>53</v>
      </c>
      <c r="K61" s="8" t="s">
        <v>22</v>
      </c>
      <c r="L61" s="8" t="s">
        <v>38</v>
      </c>
      <c r="M61" s="8" t="s">
        <v>24</v>
      </c>
      <c r="N61" s="8" t="s">
        <v>158</v>
      </c>
      <c r="O61" s="8">
        <v>0</v>
      </c>
      <c r="P61" s="8">
        <v>0</v>
      </c>
      <c r="Q61" s="6">
        <v>1</v>
      </c>
      <c r="R61" s="6">
        <v>1</v>
      </c>
      <c r="S61" s="6">
        <v>10999</v>
      </c>
      <c r="T61" s="6">
        <f>Data_1[[#This Row],[سعر البيع ]]*Data_1[[#This Row],[جميع الكميات]]</f>
        <v>10999</v>
      </c>
      <c r="U61" s="6">
        <v>10999</v>
      </c>
      <c r="V61" s="8" t="s">
        <v>26</v>
      </c>
      <c r="W61" s="15">
        <v>45550</v>
      </c>
      <c r="X61" s="15">
        <v>45616</v>
      </c>
      <c r="Y61" s="15">
        <v>45581</v>
      </c>
      <c r="Z61" s="8" t="s">
        <v>67</v>
      </c>
      <c r="AA61" s="8" t="s">
        <v>28</v>
      </c>
      <c r="AB61" s="6">
        <v>35</v>
      </c>
      <c r="AC61" s="6" t="str">
        <f>TEXT(Data_1[[#This Row],[ميعاد الطلب]],"MMMM")</f>
        <v>September</v>
      </c>
      <c r="AD61" s="8" t="s">
        <v>49</v>
      </c>
    </row>
    <row r="62" spans="2:30" x14ac:dyDescent="0.3">
      <c r="B62" s="6">
        <v>62</v>
      </c>
      <c r="C62" s="6">
        <v>1679739</v>
      </c>
      <c r="D62" s="6">
        <v>1271291</v>
      </c>
      <c r="E62" s="8" t="s">
        <v>157</v>
      </c>
      <c r="F62" s="8" t="s">
        <v>237</v>
      </c>
      <c r="G62" s="6">
        <v>0</v>
      </c>
      <c r="H62" s="8" t="s">
        <v>91</v>
      </c>
      <c r="I62" s="8" t="s">
        <v>21</v>
      </c>
      <c r="J62" s="8" t="s">
        <v>53</v>
      </c>
      <c r="K62" s="8" t="s">
        <v>22</v>
      </c>
      <c r="L62" s="8" t="s">
        <v>38</v>
      </c>
      <c r="M62" s="8" t="s">
        <v>24</v>
      </c>
      <c r="N62" s="8" t="s">
        <v>158</v>
      </c>
      <c r="O62" s="8">
        <v>0</v>
      </c>
      <c r="P62" s="8">
        <v>0</v>
      </c>
      <c r="Q62" s="6">
        <v>1</v>
      </c>
      <c r="R62" s="6">
        <v>1</v>
      </c>
      <c r="S62" s="6">
        <v>10999</v>
      </c>
      <c r="T62" s="6">
        <f>Data_1[[#This Row],[سعر البيع ]]*Data_1[[#This Row],[جميع الكميات]]</f>
        <v>10999</v>
      </c>
      <c r="U62" s="6">
        <v>10999</v>
      </c>
      <c r="V62" s="8" t="s">
        <v>26</v>
      </c>
      <c r="W62" s="15">
        <v>45550</v>
      </c>
      <c r="X62" s="15">
        <v>45616</v>
      </c>
      <c r="Y62" s="15">
        <v>45581</v>
      </c>
      <c r="Z62" s="8" t="s">
        <v>67</v>
      </c>
      <c r="AA62" s="8" t="s">
        <v>28</v>
      </c>
      <c r="AB62" s="6">
        <v>35</v>
      </c>
      <c r="AC62" s="6" t="str">
        <f>TEXT(Data_1[[#This Row],[ميعاد الطلب]],"MMMM")</f>
        <v>September</v>
      </c>
      <c r="AD62" s="8" t="s">
        <v>49</v>
      </c>
    </row>
    <row r="63" spans="2:30" x14ac:dyDescent="0.3">
      <c r="B63" s="6">
        <v>63</v>
      </c>
      <c r="C63" s="6">
        <v>1670668</v>
      </c>
      <c r="D63" s="6">
        <v>1268695</v>
      </c>
      <c r="E63" s="8" t="s">
        <v>159</v>
      </c>
      <c r="F63" s="8" t="s">
        <v>237</v>
      </c>
      <c r="G63" s="6">
        <v>1</v>
      </c>
      <c r="H63" s="8" t="s">
        <v>160</v>
      </c>
      <c r="I63" s="8" t="s">
        <v>21</v>
      </c>
      <c r="J63" s="8" t="s">
        <v>53</v>
      </c>
      <c r="K63" s="8" t="s">
        <v>69</v>
      </c>
      <c r="L63" s="8" t="s">
        <v>54</v>
      </c>
      <c r="M63" s="8" t="s">
        <v>33</v>
      </c>
      <c r="N63" s="8" t="s">
        <v>134</v>
      </c>
      <c r="O63" s="8">
        <v>0</v>
      </c>
      <c r="P63" s="8">
        <v>0</v>
      </c>
      <c r="Q63" s="6">
        <v>1</v>
      </c>
      <c r="R63" s="6">
        <v>1</v>
      </c>
      <c r="S63" s="6">
        <v>21999</v>
      </c>
      <c r="T63" s="6">
        <f>Data_1[[#This Row],[سعر البيع ]]*Data_1[[#This Row],[جميع الكميات]]</f>
        <v>21999</v>
      </c>
      <c r="U63" s="6">
        <v>21999</v>
      </c>
      <c r="V63" s="8" t="s">
        <v>26</v>
      </c>
      <c r="W63" s="15">
        <v>45550</v>
      </c>
      <c r="X63" s="15">
        <v>45616</v>
      </c>
      <c r="Y63" s="15">
        <v>45584</v>
      </c>
      <c r="Z63" s="8" t="s">
        <v>67</v>
      </c>
      <c r="AA63" s="8" t="s">
        <v>28</v>
      </c>
      <c r="AB63" s="6">
        <v>32</v>
      </c>
      <c r="AC63" s="6" t="str">
        <f>TEXT(Data_1[[#This Row],[ميعاد الطلب]],"MMMM")</f>
        <v>September</v>
      </c>
      <c r="AD63" s="8" t="s">
        <v>49</v>
      </c>
    </row>
    <row r="64" spans="2:30" x14ac:dyDescent="0.3">
      <c r="B64" s="6">
        <v>64</v>
      </c>
      <c r="C64" s="6">
        <v>1416625</v>
      </c>
      <c r="D64" s="6">
        <v>1205197</v>
      </c>
      <c r="E64" s="8" t="s">
        <v>161</v>
      </c>
      <c r="F64" s="8" t="s">
        <v>237</v>
      </c>
      <c r="G64" s="6">
        <v>1</v>
      </c>
      <c r="H64" s="8" t="s">
        <v>103</v>
      </c>
      <c r="I64" s="8" t="s">
        <v>21</v>
      </c>
      <c r="J64" s="8" t="s">
        <v>104</v>
      </c>
      <c r="K64" s="8" t="s">
        <v>46</v>
      </c>
      <c r="L64" s="8" t="s">
        <v>78</v>
      </c>
      <c r="M64" s="8" t="s">
        <v>33</v>
      </c>
      <c r="N64" s="8" t="s">
        <v>162</v>
      </c>
      <c r="O64" s="8">
        <v>0</v>
      </c>
      <c r="P64" s="8">
        <v>0</v>
      </c>
      <c r="Q64" s="6">
        <v>1</v>
      </c>
      <c r="R64" s="6">
        <v>1</v>
      </c>
      <c r="S64" s="6">
        <v>7849</v>
      </c>
      <c r="T64" s="6">
        <f>Data_1[[#This Row],[سعر البيع ]]*Data_1[[#This Row],[جميع الكميات]]</f>
        <v>7849</v>
      </c>
      <c r="U64" s="6">
        <v>7849</v>
      </c>
      <c r="V64" s="8" t="s">
        <v>26</v>
      </c>
      <c r="W64" s="15">
        <v>45551</v>
      </c>
      <c r="X64" s="15">
        <v>45595</v>
      </c>
      <c r="Y64" s="15">
        <v>45610</v>
      </c>
      <c r="Z64" s="8" t="s">
        <v>27</v>
      </c>
      <c r="AA64" s="8" t="s">
        <v>28</v>
      </c>
      <c r="AB64" s="6">
        <v>-15</v>
      </c>
      <c r="AC64" s="6" t="str">
        <f>TEXT(Data_1[[#This Row],[ميعاد الطلب]],"MMMM")</f>
        <v>September</v>
      </c>
      <c r="AD64" s="8" t="s">
        <v>29</v>
      </c>
    </row>
    <row r="65" spans="2:30" x14ac:dyDescent="0.3">
      <c r="B65" s="6">
        <v>65</v>
      </c>
      <c r="C65" s="6">
        <v>25</v>
      </c>
      <c r="D65" s="6">
        <v>255</v>
      </c>
      <c r="E65" s="8" t="s">
        <v>97</v>
      </c>
      <c r="F65" s="8" t="s">
        <v>278</v>
      </c>
      <c r="G65" s="6">
        <v>0</v>
      </c>
      <c r="H65" s="8" t="s">
        <v>163</v>
      </c>
      <c r="I65" s="8" t="s">
        <v>232</v>
      </c>
      <c r="J65" s="8" t="s">
        <v>53</v>
      </c>
      <c r="K65" s="8" t="s">
        <v>22</v>
      </c>
      <c r="L65" s="8" t="s">
        <v>38</v>
      </c>
      <c r="M65" s="8" t="s">
        <v>24</v>
      </c>
      <c r="N65" s="8" t="s">
        <v>158</v>
      </c>
      <c r="O65" s="8">
        <v>0</v>
      </c>
      <c r="P65" s="8">
        <v>0</v>
      </c>
      <c r="Q65" s="6">
        <v>1</v>
      </c>
      <c r="R65" s="6">
        <v>1</v>
      </c>
      <c r="S65" s="6">
        <v>5074</v>
      </c>
      <c r="T65" s="6">
        <f>Data_1[[#This Row],[سعر البيع ]]*Data_1[[#This Row],[جميع الكميات]]</f>
        <v>5074</v>
      </c>
      <c r="U65" s="6">
        <v>5074</v>
      </c>
      <c r="V65" s="8" t="s">
        <v>56</v>
      </c>
      <c r="W65" s="15">
        <v>45556</v>
      </c>
      <c r="X65" s="15">
        <v>45570</v>
      </c>
      <c r="Y65" s="15">
        <v>45577</v>
      </c>
      <c r="Z65" s="8" t="s">
        <v>67</v>
      </c>
      <c r="AA65" s="8" t="s">
        <v>28</v>
      </c>
      <c r="AB65" s="6">
        <v>-7</v>
      </c>
      <c r="AC65" s="6" t="str">
        <f>TEXT(Data_1[[#This Row],[ميعاد الطلب]],"MMMM")</f>
        <v>September</v>
      </c>
      <c r="AD65" s="8" t="s">
        <v>29</v>
      </c>
    </row>
    <row r="66" spans="2:30" x14ac:dyDescent="0.3">
      <c r="B66" s="6">
        <v>66</v>
      </c>
      <c r="C66" s="6">
        <v>2514</v>
      </c>
      <c r="D66" s="6">
        <v>2514</v>
      </c>
      <c r="E66" s="8" t="s">
        <v>234</v>
      </c>
      <c r="F66" s="8" t="s">
        <v>278</v>
      </c>
      <c r="G66" s="6">
        <v>0</v>
      </c>
      <c r="H66" s="8" t="s">
        <v>63</v>
      </c>
      <c r="I66" s="8" t="s">
        <v>234</v>
      </c>
      <c r="J66" s="8" t="s">
        <v>53</v>
      </c>
      <c r="K66" s="8" t="s">
        <v>22</v>
      </c>
      <c r="L66" s="8" t="s">
        <v>38</v>
      </c>
      <c r="M66" s="8" t="s">
        <v>164</v>
      </c>
      <c r="N66" s="8" t="s">
        <v>165</v>
      </c>
      <c r="O66" s="8">
        <v>0</v>
      </c>
      <c r="P66" s="8">
        <v>0</v>
      </c>
      <c r="Q66" s="6">
        <v>1</v>
      </c>
      <c r="R66" s="6">
        <v>1</v>
      </c>
      <c r="S66" s="6">
        <v>6250</v>
      </c>
      <c r="T66" s="6">
        <f>Data_1[[#This Row],[سعر البيع ]]*Data_1[[#This Row],[جميع الكميات]]</f>
        <v>6250</v>
      </c>
      <c r="U66" s="6">
        <v>6250</v>
      </c>
      <c r="V66" s="8" t="s">
        <v>56</v>
      </c>
      <c r="W66" s="15">
        <v>45558</v>
      </c>
      <c r="X66" s="15">
        <v>45573</v>
      </c>
      <c r="Y66" s="15">
        <v>45582</v>
      </c>
      <c r="Z66" s="8" t="s">
        <v>67</v>
      </c>
      <c r="AA66" s="8" t="s">
        <v>28</v>
      </c>
      <c r="AB66" s="6">
        <v>-9</v>
      </c>
      <c r="AC66" s="6" t="str">
        <f>TEXT(Data_1[[#This Row],[ميعاد الطلب]],"MMMM")</f>
        <v>September</v>
      </c>
      <c r="AD66" s="8" t="s">
        <v>29</v>
      </c>
    </row>
    <row r="67" spans="2:30" x14ac:dyDescent="0.3">
      <c r="B67" s="6">
        <v>67</v>
      </c>
      <c r="C67" s="6">
        <v>1706794</v>
      </c>
      <c r="D67" s="6">
        <v>1281428</v>
      </c>
      <c r="E67" s="8" t="s">
        <v>166</v>
      </c>
      <c r="F67" s="8" t="s">
        <v>237</v>
      </c>
      <c r="G67" s="6">
        <v>1</v>
      </c>
      <c r="H67" s="8" t="s">
        <v>63</v>
      </c>
      <c r="I67" s="8" t="s">
        <v>21</v>
      </c>
      <c r="J67" s="8" t="s">
        <v>53</v>
      </c>
      <c r="K67" s="8" t="s">
        <v>22</v>
      </c>
      <c r="L67" s="8" t="s">
        <v>61</v>
      </c>
      <c r="M67" s="8" t="s">
        <v>24</v>
      </c>
      <c r="N67" s="8" t="s">
        <v>167</v>
      </c>
      <c r="O67" s="8">
        <v>0</v>
      </c>
      <c r="P67" s="8">
        <v>0</v>
      </c>
      <c r="Q67" s="6">
        <v>1</v>
      </c>
      <c r="R67" s="6">
        <v>1</v>
      </c>
      <c r="S67" s="6">
        <v>8943</v>
      </c>
      <c r="T67" s="6">
        <f>Data_1[[#This Row],[سعر البيع ]]*Data_1[[#This Row],[جميع الكميات]]</f>
        <v>8943</v>
      </c>
      <c r="U67" s="6">
        <v>8943</v>
      </c>
      <c r="V67" s="8" t="s">
        <v>26</v>
      </c>
      <c r="W67" s="15">
        <v>45561</v>
      </c>
      <c r="X67" s="15">
        <v>45606</v>
      </c>
      <c r="Y67" s="15">
        <v>45575</v>
      </c>
      <c r="Z67" s="8" t="s">
        <v>67</v>
      </c>
      <c r="AA67" s="8" t="s">
        <v>28</v>
      </c>
      <c r="AB67" s="6">
        <v>31</v>
      </c>
      <c r="AC67" s="6" t="str">
        <f>TEXT(Data_1[[#This Row],[ميعاد الطلب]],"MMMM")</f>
        <v>September</v>
      </c>
      <c r="AD67" s="8" t="s">
        <v>49</v>
      </c>
    </row>
    <row r="68" spans="2:30" x14ac:dyDescent="0.3">
      <c r="B68" s="6">
        <v>68</v>
      </c>
      <c r="C68" s="6">
        <v>1704621</v>
      </c>
      <c r="D68" s="6">
        <v>1280197</v>
      </c>
      <c r="E68" s="8" t="s">
        <v>168</v>
      </c>
      <c r="F68" s="8" t="s">
        <v>237</v>
      </c>
      <c r="G68" s="6">
        <v>1</v>
      </c>
      <c r="H68" s="8" t="s">
        <v>60</v>
      </c>
      <c r="I68" s="8" t="s">
        <v>21</v>
      </c>
      <c r="J68" s="8" t="s">
        <v>120</v>
      </c>
      <c r="K68" s="8" t="s">
        <v>46</v>
      </c>
      <c r="L68" s="8" t="s">
        <v>108</v>
      </c>
      <c r="M68" s="8" t="s">
        <v>33</v>
      </c>
      <c r="N68" s="8" t="s">
        <v>169</v>
      </c>
      <c r="O68" s="8">
        <v>1</v>
      </c>
      <c r="P68" s="8">
        <v>8349</v>
      </c>
      <c r="Q68" s="6">
        <v>1</v>
      </c>
      <c r="R68" s="6">
        <v>0</v>
      </c>
      <c r="S68" s="6">
        <v>0</v>
      </c>
      <c r="T68" s="6">
        <f>Data_1[[#This Row],[سعر البيع ]]*Data_1[[#This Row],[جميع الكميات]]</f>
        <v>8349</v>
      </c>
      <c r="U68" s="6">
        <v>8349</v>
      </c>
      <c r="V68" s="8" t="s">
        <v>26</v>
      </c>
      <c r="W68" s="15">
        <v>45561</v>
      </c>
      <c r="X68" s="15">
        <v>45606</v>
      </c>
      <c r="Y68" s="15"/>
      <c r="Z68" s="8" t="s">
        <v>76</v>
      </c>
      <c r="AA68" s="8" t="s">
        <v>42</v>
      </c>
      <c r="AB68" s="6" t="s">
        <v>42</v>
      </c>
      <c r="AC68" s="6" t="str">
        <f>TEXT(Data_1[[#This Row],[ميعاد الطلب]],"MMMM")</f>
        <v>September</v>
      </c>
      <c r="AD68" s="8" t="s">
        <v>42</v>
      </c>
    </row>
    <row r="69" spans="2:30" x14ac:dyDescent="0.3">
      <c r="B69" s="6">
        <v>69</v>
      </c>
      <c r="C69" s="6">
        <v>240078066</v>
      </c>
      <c r="D69" s="6">
        <v>5245</v>
      </c>
      <c r="E69" s="8" t="s">
        <v>95</v>
      </c>
      <c r="F69" s="8" t="s">
        <v>278</v>
      </c>
      <c r="G69" s="6">
        <v>0</v>
      </c>
      <c r="H69" s="8" t="s">
        <v>170</v>
      </c>
      <c r="I69" s="8" t="s">
        <v>95</v>
      </c>
      <c r="J69" s="8" t="s">
        <v>53</v>
      </c>
      <c r="K69" s="8" t="s">
        <v>69</v>
      </c>
      <c r="L69" s="8" t="s">
        <v>54</v>
      </c>
      <c r="M69" s="8" t="s">
        <v>33</v>
      </c>
      <c r="N69" s="8" t="s">
        <v>171</v>
      </c>
      <c r="O69" s="8">
        <v>0</v>
      </c>
      <c r="P69" s="8">
        <v>0</v>
      </c>
      <c r="Q69" s="6">
        <v>1</v>
      </c>
      <c r="R69" s="6">
        <v>1</v>
      </c>
      <c r="S69" s="6">
        <v>14950</v>
      </c>
      <c r="T69" s="6">
        <f>Data_1[[#This Row],[سعر البيع ]]*Data_1[[#This Row],[جميع الكميات]]</f>
        <v>14950</v>
      </c>
      <c r="U69" s="6">
        <v>14950</v>
      </c>
      <c r="V69" s="8" t="s">
        <v>56</v>
      </c>
      <c r="W69" s="15">
        <v>45561</v>
      </c>
      <c r="X69" s="15">
        <v>45579</v>
      </c>
      <c r="Y69" s="15">
        <v>45578</v>
      </c>
      <c r="Z69" s="8" t="s">
        <v>67</v>
      </c>
      <c r="AA69" s="8" t="s">
        <v>28</v>
      </c>
      <c r="AB69" s="6">
        <v>1</v>
      </c>
      <c r="AC69" s="6" t="str">
        <f>TEXT(Data_1[[#This Row],[ميعاد الطلب]],"MMMM")</f>
        <v>September</v>
      </c>
      <c r="AD69" s="8" t="s">
        <v>49</v>
      </c>
    </row>
    <row r="70" spans="2:30" x14ac:dyDescent="0.3">
      <c r="B70" s="6">
        <v>70</v>
      </c>
      <c r="C70" s="6">
        <v>240077789</v>
      </c>
      <c r="D70" s="6">
        <v>5525</v>
      </c>
      <c r="E70" s="8" t="s">
        <v>95</v>
      </c>
      <c r="F70" s="8" t="s">
        <v>278</v>
      </c>
      <c r="G70" s="6">
        <v>0</v>
      </c>
      <c r="H70" s="8" t="s">
        <v>52</v>
      </c>
      <c r="I70" s="8" t="s">
        <v>95</v>
      </c>
      <c r="J70" s="8" t="s">
        <v>53</v>
      </c>
      <c r="K70" s="8" t="s">
        <v>22</v>
      </c>
      <c r="L70" s="8" t="s">
        <v>38</v>
      </c>
      <c r="M70" s="8" t="s">
        <v>33</v>
      </c>
      <c r="N70" s="8" t="s">
        <v>172</v>
      </c>
      <c r="O70" s="8">
        <v>1</v>
      </c>
      <c r="P70" s="8">
        <v>9208</v>
      </c>
      <c r="Q70" s="6">
        <v>1</v>
      </c>
      <c r="R70" s="6">
        <v>0</v>
      </c>
      <c r="S70" s="6">
        <v>0</v>
      </c>
      <c r="T70" s="6">
        <f>Data_1[[#This Row],[سعر البيع ]]*Data_1[[#This Row],[جميع الكميات]]</f>
        <v>9208</v>
      </c>
      <c r="U70" s="6">
        <v>9208</v>
      </c>
      <c r="V70" s="8" t="s">
        <v>56</v>
      </c>
      <c r="W70" s="15">
        <v>45561</v>
      </c>
      <c r="X70" s="15">
        <v>45579</v>
      </c>
      <c r="Y70" s="15"/>
      <c r="Z70" s="8" t="s">
        <v>76</v>
      </c>
      <c r="AA70" s="8" t="s">
        <v>42</v>
      </c>
      <c r="AB70" s="6" t="s">
        <v>42</v>
      </c>
      <c r="AC70" s="6" t="str">
        <f>TEXT(Data_1[[#This Row],[ميعاد الطلب]],"MMMM")</f>
        <v>September</v>
      </c>
      <c r="AD70" s="8" t="s">
        <v>42</v>
      </c>
    </row>
    <row r="71" spans="2:30" x14ac:dyDescent="0.3">
      <c r="B71" s="6">
        <v>71</v>
      </c>
      <c r="C71" s="6">
        <v>240078390</v>
      </c>
      <c r="D71" s="6">
        <v>56222</v>
      </c>
      <c r="E71" s="8" t="s">
        <v>95</v>
      </c>
      <c r="F71" s="8" t="s">
        <v>278</v>
      </c>
      <c r="G71" s="6">
        <v>0</v>
      </c>
      <c r="H71" s="8" t="s">
        <v>52</v>
      </c>
      <c r="I71" s="8" t="s">
        <v>95</v>
      </c>
      <c r="J71" s="8" t="s">
        <v>53</v>
      </c>
      <c r="K71" s="8" t="s">
        <v>22</v>
      </c>
      <c r="L71" s="8" t="s">
        <v>61</v>
      </c>
      <c r="M71" s="8" t="s">
        <v>24</v>
      </c>
      <c r="N71" s="8" t="s">
        <v>167</v>
      </c>
      <c r="O71" s="8">
        <v>0</v>
      </c>
      <c r="P71" s="8">
        <v>0</v>
      </c>
      <c r="Q71" s="6">
        <v>1</v>
      </c>
      <c r="R71" s="6">
        <v>1</v>
      </c>
      <c r="S71" s="6">
        <v>7433</v>
      </c>
      <c r="T71" s="6">
        <f>Data_1[[#This Row],[سعر البيع ]]*Data_1[[#This Row],[جميع الكميات]]</f>
        <v>7433</v>
      </c>
      <c r="U71" s="6">
        <v>7433</v>
      </c>
      <c r="V71" s="8" t="s">
        <v>56</v>
      </c>
      <c r="W71" s="15">
        <v>45564</v>
      </c>
      <c r="X71" s="15">
        <v>45585</v>
      </c>
      <c r="Y71" s="15">
        <v>45586</v>
      </c>
      <c r="Z71" s="8" t="s">
        <v>67</v>
      </c>
      <c r="AA71" s="8" t="s">
        <v>28</v>
      </c>
      <c r="AB71" s="6">
        <v>-1</v>
      </c>
      <c r="AC71" s="6" t="str">
        <f>TEXT(Data_1[[#This Row],[ميعاد الطلب]],"MMMM")</f>
        <v>September</v>
      </c>
      <c r="AD71" s="8" t="s">
        <v>29</v>
      </c>
    </row>
    <row r="72" spans="2:30" x14ac:dyDescent="0.3">
      <c r="B72" s="6">
        <v>72</v>
      </c>
      <c r="C72" s="6">
        <v>26</v>
      </c>
      <c r="D72" s="6">
        <v>266</v>
      </c>
      <c r="E72" s="8" t="s">
        <v>97</v>
      </c>
      <c r="F72" s="8" t="s">
        <v>278</v>
      </c>
      <c r="G72" s="6">
        <v>0</v>
      </c>
      <c r="H72" s="8" t="s">
        <v>163</v>
      </c>
      <c r="I72" s="8" t="s">
        <v>232</v>
      </c>
      <c r="J72" s="8" t="s">
        <v>53</v>
      </c>
      <c r="K72" s="8" t="s">
        <v>22</v>
      </c>
      <c r="L72" s="8" t="s">
        <v>61</v>
      </c>
      <c r="M72" s="8" t="s">
        <v>24</v>
      </c>
      <c r="N72" s="8" t="s">
        <v>167</v>
      </c>
      <c r="O72" s="8">
        <v>0</v>
      </c>
      <c r="P72" s="8">
        <v>0</v>
      </c>
      <c r="Q72" s="6">
        <v>1</v>
      </c>
      <c r="R72" s="6">
        <v>1</v>
      </c>
      <c r="S72" s="6">
        <v>4020</v>
      </c>
      <c r="T72" s="6">
        <f>Data_1[[#This Row],[سعر البيع ]]*Data_1[[#This Row],[جميع الكميات]]</f>
        <v>4020</v>
      </c>
      <c r="U72" s="6">
        <v>4020</v>
      </c>
      <c r="V72" s="8" t="s">
        <v>56</v>
      </c>
      <c r="W72" s="15">
        <v>45564</v>
      </c>
      <c r="X72" s="15">
        <v>45577</v>
      </c>
      <c r="Y72" s="15">
        <v>45577</v>
      </c>
      <c r="Z72" s="8" t="s">
        <v>67</v>
      </c>
      <c r="AA72" s="8" t="s">
        <v>28</v>
      </c>
      <c r="AB72" s="6">
        <v>0</v>
      </c>
      <c r="AC72" s="6" t="str">
        <f>TEXT(Data_1[[#This Row],[ميعاد الطلب]],"MMMM")</f>
        <v>September</v>
      </c>
      <c r="AD72" s="8" t="s">
        <v>173</v>
      </c>
    </row>
    <row r="73" spans="2:30" x14ac:dyDescent="0.3">
      <c r="B73" s="6">
        <v>73</v>
      </c>
      <c r="C73" s="6">
        <v>27</v>
      </c>
      <c r="D73" s="6">
        <v>277</v>
      </c>
      <c r="E73" s="8" t="s">
        <v>174</v>
      </c>
      <c r="F73" s="8" t="s">
        <v>237</v>
      </c>
      <c r="G73" s="6">
        <v>1</v>
      </c>
      <c r="H73" s="8" t="s">
        <v>175</v>
      </c>
      <c r="I73" s="8" t="s">
        <v>104</v>
      </c>
      <c r="J73" s="8" t="s">
        <v>104</v>
      </c>
      <c r="K73" s="8" t="s">
        <v>22</v>
      </c>
      <c r="L73" s="8" t="s">
        <v>38</v>
      </c>
      <c r="M73" s="8" t="s">
        <v>164</v>
      </c>
      <c r="N73" s="8" t="s">
        <v>172</v>
      </c>
      <c r="O73" s="8">
        <v>0</v>
      </c>
      <c r="P73" s="8">
        <v>0</v>
      </c>
      <c r="Q73" s="6">
        <v>1</v>
      </c>
      <c r="R73" s="6">
        <v>1</v>
      </c>
      <c r="S73" s="6">
        <v>8544.9054400000005</v>
      </c>
      <c r="T73" s="6">
        <f>Data_1[[#This Row],[سعر البيع ]]*Data_1[[#This Row],[جميع الكميات]]</f>
        <v>8544.9054400000005</v>
      </c>
      <c r="U73" s="6">
        <v>8544.9054400000005</v>
      </c>
      <c r="V73" s="8" t="s">
        <v>26</v>
      </c>
      <c r="W73" s="15">
        <v>45566</v>
      </c>
      <c r="X73" s="15">
        <v>45574</v>
      </c>
      <c r="Y73" s="15">
        <v>45574</v>
      </c>
      <c r="Z73" s="8" t="s">
        <v>176</v>
      </c>
      <c r="AA73" s="8" t="s">
        <v>28</v>
      </c>
      <c r="AB73" s="6">
        <v>0</v>
      </c>
      <c r="AC73" s="6" t="str">
        <f>TEXT(Data_1[[#This Row],[ميعاد الطلب]],"MMMM")</f>
        <v>October</v>
      </c>
      <c r="AD73" s="8" t="s">
        <v>173</v>
      </c>
    </row>
    <row r="74" spans="2:30" x14ac:dyDescent="0.3">
      <c r="B74" s="6">
        <v>74</v>
      </c>
      <c r="C74" s="6">
        <v>28</v>
      </c>
      <c r="D74" s="6">
        <v>288</v>
      </c>
      <c r="E74" s="8" t="s">
        <v>174</v>
      </c>
      <c r="F74" s="8" t="s">
        <v>237</v>
      </c>
      <c r="G74" s="6">
        <v>0</v>
      </c>
      <c r="H74" s="8" t="s">
        <v>175</v>
      </c>
      <c r="I74" s="8" t="s">
        <v>104</v>
      </c>
      <c r="J74" s="8" t="s">
        <v>104</v>
      </c>
      <c r="K74" s="8" t="s">
        <v>22</v>
      </c>
      <c r="L74" s="8" t="s">
        <v>23</v>
      </c>
      <c r="M74" s="8" t="s">
        <v>33</v>
      </c>
      <c r="N74" s="8" t="s">
        <v>177</v>
      </c>
      <c r="O74" s="8">
        <v>0</v>
      </c>
      <c r="P74" s="8">
        <v>0</v>
      </c>
      <c r="Q74" s="6">
        <v>1</v>
      </c>
      <c r="R74" s="6">
        <v>1</v>
      </c>
      <c r="S74" s="6">
        <v>4600</v>
      </c>
      <c r="T74" s="6">
        <f>Data_1[[#This Row],[سعر البيع ]]*Data_1[[#This Row],[جميع الكميات]]</f>
        <v>4600</v>
      </c>
      <c r="U74" s="6">
        <v>4600</v>
      </c>
      <c r="V74" s="8" t="s">
        <v>26</v>
      </c>
      <c r="W74" s="15">
        <v>45566</v>
      </c>
      <c r="X74" s="15">
        <v>45574</v>
      </c>
      <c r="Y74" s="15">
        <v>45574</v>
      </c>
      <c r="Z74" s="8" t="s">
        <v>176</v>
      </c>
      <c r="AA74" s="8" t="s">
        <v>28</v>
      </c>
      <c r="AB74" s="6">
        <v>0</v>
      </c>
      <c r="AC74" s="6" t="str">
        <f>TEXT(Data_1[[#This Row],[ميعاد الطلب]],"MMMM")</f>
        <v>October</v>
      </c>
      <c r="AD74" s="8" t="s">
        <v>173</v>
      </c>
    </row>
    <row r="75" spans="2:30" x14ac:dyDescent="0.3">
      <c r="B75" s="6">
        <v>75</v>
      </c>
      <c r="C75" s="6">
        <v>29</v>
      </c>
      <c r="D75" s="6">
        <v>299</v>
      </c>
      <c r="E75" s="8" t="s">
        <v>174</v>
      </c>
      <c r="F75" s="8" t="s">
        <v>237</v>
      </c>
      <c r="G75" s="6">
        <v>0</v>
      </c>
      <c r="H75" s="8" t="s">
        <v>175</v>
      </c>
      <c r="I75" s="8" t="s">
        <v>104</v>
      </c>
      <c r="J75" s="8" t="s">
        <v>104</v>
      </c>
      <c r="K75" s="8" t="s">
        <v>69</v>
      </c>
      <c r="L75" s="8" t="s">
        <v>88</v>
      </c>
      <c r="M75" s="8" t="s">
        <v>33</v>
      </c>
      <c r="N75" s="8" t="s">
        <v>178</v>
      </c>
      <c r="O75" s="8">
        <v>0</v>
      </c>
      <c r="P75" s="8">
        <v>0</v>
      </c>
      <c r="Q75" s="6">
        <v>1</v>
      </c>
      <c r="R75" s="6">
        <v>1</v>
      </c>
      <c r="S75" s="6">
        <v>10000</v>
      </c>
      <c r="T75" s="6">
        <f>Data_1[[#This Row],[سعر البيع ]]*Data_1[[#This Row],[جميع الكميات]]</f>
        <v>10000</v>
      </c>
      <c r="U75" s="6">
        <v>10000</v>
      </c>
      <c r="V75" s="8" t="s">
        <v>26</v>
      </c>
      <c r="W75" s="15">
        <v>45566</v>
      </c>
      <c r="X75" s="15">
        <v>45574</v>
      </c>
      <c r="Y75" s="15">
        <v>45574</v>
      </c>
      <c r="Z75" s="8" t="s">
        <v>176</v>
      </c>
      <c r="AA75" s="8" t="s">
        <v>28</v>
      </c>
      <c r="AB75" s="6">
        <v>0</v>
      </c>
      <c r="AC75" s="6" t="str">
        <f>TEXT(Data_1[[#This Row],[ميعاد الطلب]],"MMMM")</f>
        <v>October</v>
      </c>
      <c r="AD75" s="8" t="s">
        <v>173</v>
      </c>
    </row>
    <row r="76" spans="2:30" x14ac:dyDescent="0.3">
      <c r="B76" s="6">
        <v>76</v>
      </c>
      <c r="C76" s="6">
        <v>1282228</v>
      </c>
      <c r="D76" s="6">
        <v>1708226</v>
      </c>
      <c r="E76" s="8" t="s">
        <v>179</v>
      </c>
      <c r="F76" s="8" t="s">
        <v>237</v>
      </c>
      <c r="G76" s="6">
        <v>1</v>
      </c>
      <c r="H76" s="8" t="s">
        <v>180</v>
      </c>
      <c r="I76" s="8" t="s">
        <v>21</v>
      </c>
      <c r="J76" s="8" t="s">
        <v>53</v>
      </c>
      <c r="K76" s="8" t="s">
        <v>22</v>
      </c>
      <c r="L76" s="8" t="s">
        <v>23</v>
      </c>
      <c r="M76" s="8" t="s">
        <v>33</v>
      </c>
      <c r="N76" s="8" t="s">
        <v>177</v>
      </c>
      <c r="O76" s="8">
        <v>0</v>
      </c>
      <c r="P76" s="8">
        <v>0</v>
      </c>
      <c r="Q76" s="6">
        <v>1</v>
      </c>
      <c r="R76" s="6">
        <v>1</v>
      </c>
      <c r="S76" s="6">
        <v>8899</v>
      </c>
      <c r="T76" s="6">
        <f>Data_1[[#This Row],[سعر البيع ]]*Data_1[[#This Row],[جميع الكميات]]</f>
        <v>8899</v>
      </c>
      <c r="U76" s="6">
        <v>8899</v>
      </c>
      <c r="V76" s="8" t="s">
        <v>26</v>
      </c>
      <c r="W76" s="15">
        <v>45568</v>
      </c>
      <c r="X76" s="15">
        <v>45613</v>
      </c>
      <c r="Y76" s="15">
        <v>45577</v>
      </c>
      <c r="Z76" s="8" t="s">
        <v>67</v>
      </c>
      <c r="AA76" s="8" t="s">
        <v>28</v>
      </c>
      <c r="AB76" s="6">
        <v>36</v>
      </c>
      <c r="AC76" s="6" t="str">
        <f>TEXT(Data_1[[#This Row],[ميعاد الطلب]],"MMMM")</f>
        <v>October</v>
      </c>
      <c r="AD76" s="8" t="s">
        <v>49</v>
      </c>
    </row>
    <row r="77" spans="2:30" x14ac:dyDescent="0.3">
      <c r="B77" s="6">
        <v>77</v>
      </c>
      <c r="C77" s="6">
        <v>240079328</v>
      </c>
      <c r="D77" s="6">
        <v>313</v>
      </c>
      <c r="E77" s="8" t="s">
        <v>95</v>
      </c>
      <c r="F77" s="8" t="s">
        <v>278</v>
      </c>
      <c r="G77" s="6">
        <v>0</v>
      </c>
      <c r="H77" s="8" t="s">
        <v>52</v>
      </c>
      <c r="I77" s="8" t="s">
        <v>95</v>
      </c>
      <c r="J77" s="8" t="s">
        <v>53</v>
      </c>
      <c r="K77" s="8" t="s">
        <v>69</v>
      </c>
      <c r="L77" s="8" t="s">
        <v>54</v>
      </c>
      <c r="M77" s="8" t="s">
        <v>33</v>
      </c>
      <c r="N77" s="8" t="s">
        <v>171</v>
      </c>
      <c r="O77" s="8">
        <v>0</v>
      </c>
      <c r="P77" s="8">
        <v>0</v>
      </c>
      <c r="Q77" s="6">
        <v>1</v>
      </c>
      <c r="R77" s="6">
        <v>1</v>
      </c>
      <c r="S77" s="6">
        <v>14550</v>
      </c>
      <c r="T77" s="6">
        <f>Data_1[[#This Row],[سعر البيع ]]*Data_1[[#This Row],[جميع الكميات]]</f>
        <v>14550</v>
      </c>
      <c r="U77" s="6">
        <v>14550</v>
      </c>
      <c r="V77" s="8" t="s">
        <v>56</v>
      </c>
      <c r="W77" s="15">
        <v>45573</v>
      </c>
      <c r="X77" s="15">
        <v>45594</v>
      </c>
      <c r="Y77" s="15">
        <v>45595</v>
      </c>
      <c r="Z77" s="8" t="s">
        <v>67</v>
      </c>
      <c r="AA77" s="8" t="s">
        <v>28</v>
      </c>
      <c r="AB77" s="6">
        <v>-1</v>
      </c>
      <c r="AC77" s="6" t="str">
        <f>TEXT(Data_1[[#This Row],[ميعاد الطلب]],"MMMM")</f>
        <v>October</v>
      </c>
      <c r="AD77" s="8" t="s">
        <v>29</v>
      </c>
    </row>
    <row r="78" spans="2:30" x14ac:dyDescent="0.3">
      <c r="B78" s="6">
        <v>78</v>
      </c>
      <c r="C78" s="6">
        <v>240078933</v>
      </c>
      <c r="D78" s="6">
        <v>312</v>
      </c>
      <c r="E78" s="8" t="s">
        <v>95</v>
      </c>
      <c r="F78" s="8" t="s">
        <v>278</v>
      </c>
      <c r="G78" s="6">
        <v>0</v>
      </c>
      <c r="H78" s="8" t="s">
        <v>60</v>
      </c>
      <c r="I78" s="8" t="s">
        <v>95</v>
      </c>
      <c r="J78" s="8" t="s">
        <v>120</v>
      </c>
      <c r="K78" s="8" t="s">
        <v>69</v>
      </c>
      <c r="L78" s="8" t="s">
        <v>54</v>
      </c>
      <c r="M78" s="8" t="s">
        <v>33</v>
      </c>
      <c r="N78" s="8" t="s">
        <v>171</v>
      </c>
      <c r="O78" s="8">
        <v>0</v>
      </c>
      <c r="P78" s="8">
        <v>0</v>
      </c>
      <c r="Q78" s="6">
        <v>1</v>
      </c>
      <c r="R78" s="6">
        <v>1</v>
      </c>
      <c r="S78" s="6">
        <v>14550</v>
      </c>
      <c r="T78" s="6">
        <f>Data_1[[#This Row],[سعر البيع ]]*Data_1[[#This Row],[جميع الكميات]]</f>
        <v>14550</v>
      </c>
      <c r="U78" s="6">
        <v>14550</v>
      </c>
      <c r="V78" s="8" t="s">
        <v>56</v>
      </c>
      <c r="W78" s="15">
        <v>45572</v>
      </c>
      <c r="X78" s="15">
        <v>45594</v>
      </c>
      <c r="Y78" s="15">
        <v>45580</v>
      </c>
      <c r="Z78" s="8" t="s">
        <v>67</v>
      </c>
      <c r="AA78" s="8" t="s">
        <v>28</v>
      </c>
      <c r="AB78" s="6">
        <v>14</v>
      </c>
      <c r="AC78" s="6" t="str">
        <f>TEXT(Data_1[[#This Row],[ميعاد الطلب]],"MMMM")</f>
        <v>October</v>
      </c>
      <c r="AD78" s="8" t="s">
        <v>49</v>
      </c>
    </row>
    <row r="79" spans="2:30" x14ac:dyDescent="0.3">
      <c r="B79" s="6">
        <v>79</v>
      </c>
      <c r="C79" s="6">
        <v>240079517</v>
      </c>
      <c r="D79" s="6">
        <v>3134</v>
      </c>
      <c r="E79" s="8" t="s">
        <v>95</v>
      </c>
      <c r="F79" s="8" t="s">
        <v>278</v>
      </c>
      <c r="G79" s="6">
        <v>0</v>
      </c>
      <c r="H79" s="8" t="s">
        <v>52</v>
      </c>
      <c r="I79" s="8" t="s">
        <v>95</v>
      </c>
      <c r="J79" s="8" t="s">
        <v>53</v>
      </c>
      <c r="K79" s="8" t="s">
        <v>69</v>
      </c>
      <c r="L79" s="8" t="s">
        <v>54</v>
      </c>
      <c r="M79" s="8" t="s">
        <v>33</v>
      </c>
      <c r="N79" s="8" t="s">
        <v>171</v>
      </c>
      <c r="O79" s="8">
        <v>0</v>
      </c>
      <c r="P79" s="8">
        <v>0</v>
      </c>
      <c r="Q79" s="6">
        <v>1</v>
      </c>
      <c r="R79" s="6">
        <v>1</v>
      </c>
      <c r="S79" s="6">
        <v>14550</v>
      </c>
      <c r="T79" s="6">
        <f>Data_1[[#This Row],[سعر البيع ]]*Data_1[[#This Row],[جميع الكميات]]</f>
        <v>14550</v>
      </c>
      <c r="U79" s="6">
        <v>14550</v>
      </c>
      <c r="V79" s="8" t="s">
        <v>56</v>
      </c>
      <c r="W79" s="15">
        <v>45575</v>
      </c>
      <c r="X79" s="15">
        <v>45596</v>
      </c>
      <c r="Y79" s="15">
        <v>45598</v>
      </c>
      <c r="Z79" s="8" t="s">
        <v>67</v>
      </c>
      <c r="AA79" s="8" t="s">
        <v>28</v>
      </c>
      <c r="AB79" s="6">
        <v>-2</v>
      </c>
      <c r="AC79" s="6" t="str">
        <f>TEXT(Data_1[[#This Row],[ميعاد الطلب]],"MMMM")</f>
        <v>October</v>
      </c>
      <c r="AD79" s="8" t="s">
        <v>29</v>
      </c>
    </row>
    <row r="80" spans="2:30" x14ac:dyDescent="0.3">
      <c r="B80" s="6">
        <v>80</v>
      </c>
      <c r="C80" s="6">
        <v>1714623</v>
      </c>
      <c r="D80" s="6">
        <v>1284697</v>
      </c>
      <c r="E80" s="8" t="s">
        <v>181</v>
      </c>
      <c r="F80" s="8" t="s">
        <v>237</v>
      </c>
      <c r="G80" s="6">
        <v>1</v>
      </c>
      <c r="H80" s="8" t="s">
        <v>133</v>
      </c>
      <c r="I80" s="8" t="s">
        <v>21</v>
      </c>
      <c r="J80" s="8" t="s">
        <v>53</v>
      </c>
      <c r="K80" s="8" t="s">
        <v>22</v>
      </c>
      <c r="L80" s="8" t="s">
        <v>38</v>
      </c>
      <c r="M80" s="8" t="s">
        <v>182</v>
      </c>
      <c r="N80" s="8" t="s">
        <v>172</v>
      </c>
      <c r="O80" s="8">
        <v>0</v>
      </c>
      <c r="P80" s="8">
        <v>0</v>
      </c>
      <c r="Q80" s="6">
        <v>1</v>
      </c>
      <c r="R80" s="6">
        <v>1</v>
      </c>
      <c r="S80" s="6">
        <v>12899</v>
      </c>
      <c r="T80" s="6">
        <f>Data_1[[#This Row],[سعر البيع ]]*Data_1[[#This Row],[جميع الكميات]]</f>
        <v>12899</v>
      </c>
      <c r="U80" s="6">
        <v>12899</v>
      </c>
      <c r="V80" s="8" t="s">
        <v>26</v>
      </c>
      <c r="W80" s="15">
        <v>45578</v>
      </c>
      <c r="X80" s="15">
        <v>45643</v>
      </c>
      <c r="Y80" s="15">
        <v>45598</v>
      </c>
      <c r="Z80" s="8" t="s">
        <v>67</v>
      </c>
      <c r="AA80" s="8" t="s">
        <v>28</v>
      </c>
      <c r="AB80" s="6">
        <v>45</v>
      </c>
      <c r="AC80" s="6" t="str">
        <f>TEXT(Data_1[[#This Row],[ميعاد الطلب]],"MMMM")</f>
        <v>October</v>
      </c>
      <c r="AD80" s="8" t="s">
        <v>49</v>
      </c>
    </row>
    <row r="81" spans="2:30" x14ac:dyDescent="0.3">
      <c r="B81" s="6">
        <v>81</v>
      </c>
      <c r="C81" s="6">
        <v>1715473</v>
      </c>
      <c r="D81" s="6">
        <v>1285152</v>
      </c>
      <c r="E81" s="8" t="s">
        <v>183</v>
      </c>
      <c r="F81" s="8" t="s">
        <v>237</v>
      </c>
      <c r="G81" s="6">
        <v>1</v>
      </c>
      <c r="H81" s="8" t="s">
        <v>72</v>
      </c>
      <c r="I81" s="8" t="s">
        <v>21</v>
      </c>
      <c r="J81" s="8" t="s">
        <v>53</v>
      </c>
      <c r="K81" s="8" t="s">
        <v>22</v>
      </c>
      <c r="L81" s="8" t="s">
        <v>38</v>
      </c>
      <c r="M81" s="8" t="s">
        <v>24</v>
      </c>
      <c r="N81" s="8" t="s">
        <v>172</v>
      </c>
      <c r="O81" s="8">
        <v>0</v>
      </c>
      <c r="P81" s="8">
        <v>0</v>
      </c>
      <c r="Q81" s="6">
        <v>1</v>
      </c>
      <c r="R81" s="6">
        <v>1</v>
      </c>
      <c r="S81" s="6">
        <v>10499</v>
      </c>
      <c r="T81" s="6">
        <f>Data_1[[#This Row],[سعر البيع ]]*Data_1[[#This Row],[جميع الكميات]]</f>
        <v>10499</v>
      </c>
      <c r="U81" s="6">
        <v>10499</v>
      </c>
      <c r="V81" s="8" t="s">
        <v>26</v>
      </c>
      <c r="W81" s="15">
        <v>45581</v>
      </c>
      <c r="X81" s="15">
        <v>45645</v>
      </c>
      <c r="Y81" s="15">
        <v>45586</v>
      </c>
      <c r="Z81" s="8" t="s">
        <v>67</v>
      </c>
      <c r="AA81" s="8" t="s">
        <v>28</v>
      </c>
      <c r="AB81" s="6">
        <v>59</v>
      </c>
      <c r="AC81" s="6" t="str">
        <f>TEXT(Data_1[[#This Row],[ميعاد الطلب]],"MMMM")</f>
        <v>October</v>
      </c>
      <c r="AD81" s="8" t="s">
        <v>49</v>
      </c>
    </row>
    <row r="82" spans="2:30" x14ac:dyDescent="0.3">
      <c r="B82" s="6">
        <v>82</v>
      </c>
      <c r="C82" s="6">
        <v>1715992</v>
      </c>
      <c r="D82" s="6">
        <v>1285423</v>
      </c>
      <c r="E82" s="8" t="s">
        <v>184</v>
      </c>
      <c r="F82" s="8" t="s">
        <v>237</v>
      </c>
      <c r="G82" s="6">
        <v>1</v>
      </c>
      <c r="H82" s="8" t="s">
        <v>185</v>
      </c>
      <c r="I82" s="8" t="s">
        <v>21</v>
      </c>
      <c r="J82" s="8" t="s">
        <v>32</v>
      </c>
      <c r="K82" s="8" t="s">
        <v>22</v>
      </c>
      <c r="L82" s="8" t="s">
        <v>38</v>
      </c>
      <c r="M82" s="8" t="s">
        <v>182</v>
      </c>
      <c r="N82" s="8" t="s">
        <v>172</v>
      </c>
      <c r="O82" s="8">
        <v>0</v>
      </c>
      <c r="P82" s="8">
        <v>0</v>
      </c>
      <c r="Q82" s="6">
        <v>1</v>
      </c>
      <c r="R82" s="6">
        <v>1</v>
      </c>
      <c r="S82" s="6">
        <v>12899</v>
      </c>
      <c r="T82" s="6">
        <f>Data_1[[#This Row],[سعر البيع ]]*Data_1[[#This Row],[جميع الكميات]]</f>
        <v>12899</v>
      </c>
      <c r="U82" s="6">
        <v>12899</v>
      </c>
      <c r="V82" s="8" t="s">
        <v>26</v>
      </c>
      <c r="W82" s="15">
        <v>45582</v>
      </c>
      <c r="X82" s="15">
        <v>45648</v>
      </c>
      <c r="Y82" s="15">
        <v>45629</v>
      </c>
      <c r="Z82" s="8" t="s">
        <v>27</v>
      </c>
      <c r="AA82" s="8" t="s">
        <v>28</v>
      </c>
      <c r="AB82" s="6">
        <v>19</v>
      </c>
      <c r="AC82" s="6" t="str">
        <f>TEXT(Data_1[[#This Row],[ميعاد الطلب]],"MMMM")</f>
        <v>October</v>
      </c>
      <c r="AD82" s="8" t="s">
        <v>49</v>
      </c>
    </row>
    <row r="83" spans="2:30" x14ac:dyDescent="0.3">
      <c r="B83" s="6">
        <v>83</v>
      </c>
      <c r="C83" s="6">
        <v>3163</v>
      </c>
      <c r="D83" s="6">
        <v>5698</v>
      </c>
      <c r="E83" s="8" t="s">
        <v>186</v>
      </c>
      <c r="F83" s="8" t="s">
        <v>237</v>
      </c>
      <c r="G83" s="6">
        <v>1</v>
      </c>
      <c r="H83" s="8" t="s">
        <v>187</v>
      </c>
      <c r="I83" s="8" t="s">
        <v>235</v>
      </c>
      <c r="J83" s="8" t="s">
        <v>53</v>
      </c>
      <c r="K83" s="8" t="s">
        <v>22</v>
      </c>
      <c r="L83" s="8" t="s">
        <v>61</v>
      </c>
      <c r="M83" s="8" t="s">
        <v>273</v>
      </c>
      <c r="N83" s="8" t="s">
        <v>167</v>
      </c>
      <c r="O83" s="8">
        <v>0</v>
      </c>
      <c r="P83" s="8">
        <v>0</v>
      </c>
      <c r="Q83" s="6">
        <v>1</v>
      </c>
      <c r="R83" s="6">
        <v>1</v>
      </c>
      <c r="S83" s="6">
        <v>5135</v>
      </c>
      <c r="T83" s="6">
        <f>Data_1[[#This Row],[سعر البيع ]]*Data_1[[#This Row],[جميع الكميات]]</f>
        <v>5135</v>
      </c>
      <c r="U83" s="6">
        <v>5135</v>
      </c>
      <c r="V83" s="8" t="s">
        <v>26</v>
      </c>
      <c r="W83" s="15">
        <v>45585</v>
      </c>
      <c r="X83" s="15">
        <v>45613</v>
      </c>
      <c r="Y83" s="15">
        <v>45610</v>
      </c>
      <c r="Z83" s="8" t="s">
        <v>67</v>
      </c>
      <c r="AA83" s="8" t="s">
        <v>28</v>
      </c>
      <c r="AB83" s="6">
        <v>3</v>
      </c>
      <c r="AC83" s="6" t="str">
        <f>TEXT(Data_1[[#This Row],[ميعاد الطلب]],"MMMM")</f>
        <v>October</v>
      </c>
      <c r="AD83" s="8" t="s">
        <v>49</v>
      </c>
    </row>
    <row r="84" spans="2:30" x14ac:dyDescent="0.3">
      <c r="B84" s="6">
        <v>84</v>
      </c>
      <c r="C84" s="6">
        <v>240080607</v>
      </c>
      <c r="D84" s="6">
        <v>8755</v>
      </c>
      <c r="E84" s="8" t="s">
        <v>95</v>
      </c>
      <c r="F84" s="8" t="s">
        <v>278</v>
      </c>
      <c r="G84" s="6">
        <v>0</v>
      </c>
      <c r="H84" s="8" t="s">
        <v>60</v>
      </c>
      <c r="I84" s="8" t="s">
        <v>95</v>
      </c>
      <c r="J84" s="8" t="s">
        <v>120</v>
      </c>
      <c r="K84" s="8" t="s">
        <v>22</v>
      </c>
      <c r="L84" s="8" t="s">
        <v>38</v>
      </c>
      <c r="M84" s="8" t="s">
        <v>164</v>
      </c>
      <c r="N84" s="8" t="s">
        <v>172</v>
      </c>
      <c r="O84" s="8">
        <v>0</v>
      </c>
      <c r="P84" s="8">
        <v>0</v>
      </c>
      <c r="Q84" s="6">
        <v>1</v>
      </c>
      <c r="R84" s="6">
        <v>1</v>
      </c>
      <c r="S84" s="6">
        <v>12777.5</v>
      </c>
      <c r="T84" s="6">
        <f>Data_1[[#This Row],[سعر البيع ]]*Data_1[[#This Row],[جميع الكميات]]</f>
        <v>12777.5</v>
      </c>
      <c r="U84" s="6">
        <v>12777.5</v>
      </c>
      <c r="V84" s="8" t="s">
        <v>56</v>
      </c>
      <c r="W84" s="15">
        <v>45587</v>
      </c>
      <c r="X84" s="15">
        <v>45608</v>
      </c>
      <c r="Y84" s="15">
        <v>45614</v>
      </c>
      <c r="Z84" s="8" t="s">
        <v>67</v>
      </c>
      <c r="AA84" s="8" t="s">
        <v>28</v>
      </c>
      <c r="AB84" s="6">
        <v>-6</v>
      </c>
      <c r="AC84" s="6" t="str">
        <f>TEXT(Data_1[[#This Row],[ميعاد الطلب]],"MMMM")</f>
        <v>October</v>
      </c>
      <c r="AD84" s="8" t="s">
        <v>29</v>
      </c>
    </row>
    <row r="85" spans="2:30" x14ac:dyDescent="0.3">
      <c r="B85" s="6">
        <v>85</v>
      </c>
      <c r="C85" s="6">
        <v>5648</v>
      </c>
      <c r="D85" s="6">
        <v>2598</v>
      </c>
      <c r="E85" s="8" t="s">
        <v>97</v>
      </c>
      <c r="F85" s="8" t="s">
        <v>278</v>
      </c>
      <c r="G85" s="6">
        <v>0</v>
      </c>
      <c r="H85" s="8" t="s">
        <v>188</v>
      </c>
      <c r="I85" s="8" t="s">
        <v>232</v>
      </c>
      <c r="J85" s="8" t="s">
        <v>53</v>
      </c>
      <c r="K85" s="8" t="s">
        <v>22</v>
      </c>
      <c r="L85" s="8" t="s">
        <v>38</v>
      </c>
      <c r="M85" s="8" t="s">
        <v>164</v>
      </c>
      <c r="N85" s="8" t="s">
        <v>172</v>
      </c>
      <c r="O85" s="8">
        <v>1</v>
      </c>
      <c r="P85" s="8">
        <v>8544.91</v>
      </c>
      <c r="Q85" s="6">
        <v>1</v>
      </c>
      <c r="R85" s="6">
        <v>0</v>
      </c>
      <c r="S85" s="6">
        <v>0</v>
      </c>
      <c r="T85" s="6">
        <f>Data_1[[#This Row],[سعر البيع ]]*Data_1[[#This Row],[جميع الكميات]]</f>
        <v>8544.91</v>
      </c>
      <c r="U85" s="6">
        <v>8544.91</v>
      </c>
      <c r="V85" s="8" t="s">
        <v>56</v>
      </c>
      <c r="W85" s="15">
        <v>45587</v>
      </c>
      <c r="X85" s="15"/>
      <c r="Y85" s="15"/>
      <c r="Z85" s="8" t="s">
        <v>189</v>
      </c>
      <c r="AA85" s="8" t="s">
        <v>42</v>
      </c>
      <c r="AB85" s="6" t="s">
        <v>42</v>
      </c>
      <c r="AC85" s="6" t="str">
        <f>TEXT(Data_1[[#This Row],[ميعاد الطلب]],"MMMM")</f>
        <v>October</v>
      </c>
      <c r="AD85" s="8" t="s">
        <v>42</v>
      </c>
    </row>
    <row r="86" spans="2:30" x14ac:dyDescent="0.3">
      <c r="B86" s="6">
        <v>86</v>
      </c>
      <c r="C86" s="6">
        <v>1717458</v>
      </c>
      <c r="D86" s="6">
        <v>1286189</v>
      </c>
      <c r="E86" s="8" t="s">
        <v>190</v>
      </c>
      <c r="F86" s="8" t="s">
        <v>237</v>
      </c>
      <c r="G86" s="6">
        <v>1</v>
      </c>
      <c r="H86" s="8" t="s">
        <v>60</v>
      </c>
      <c r="I86" s="8" t="s">
        <v>21</v>
      </c>
      <c r="J86" s="8" t="s">
        <v>120</v>
      </c>
      <c r="K86" s="8" t="s">
        <v>22</v>
      </c>
      <c r="L86" s="8" t="s">
        <v>61</v>
      </c>
      <c r="M86" s="8" t="s">
        <v>24</v>
      </c>
      <c r="N86" s="8" t="s">
        <v>167</v>
      </c>
      <c r="O86" s="8">
        <v>0</v>
      </c>
      <c r="P86" s="8">
        <v>0</v>
      </c>
      <c r="Q86" s="6">
        <v>1</v>
      </c>
      <c r="R86" s="6">
        <v>1</v>
      </c>
      <c r="S86" s="6">
        <v>8943</v>
      </c>
      <c r="T86" s="6">
        <f>Data_1[[#This Row],[سعر البيع ]]*Data_1[[#This Row],[جميع الكميات]]</f>
        <v>8943</v>
      </c>
      <c r="U86" s="6">
        <v>8943</v>
      </c>
      <c r="V86" s="8" t="s">
        <v>26</v>
      </c>
      <c r="W86" s="15">
        <v>45586</v>
      </c>
      <c r="X86" s="15">
        <v>45610</v>
      </c>
      <c r="Y86" s="15">
        <v>45614</v>
      </c>
      <c r="Z86" s="8" t="s">
        <v>67</v>
      </c>
      <c r="AA86" s="8" t="s">
        <v>28</v>
      </c>
      <c r="AB86" s="6">
        <v>-4</v>
      </c>
      <c r="AC86" s="6" t="str">
        <f>TEXT(Data_1[[#This Row],[ميعاد الطلب]],"MMMM")</f>
        <v>October</v>
      </c>
      <c r="AD86" s="8" t="s">
        <v>29</v>
      </c>
    </row>
    <row r="87" spans="2:30" x14ac:dyDescent="0.3">
      <c r="B87" s="6">
        <v>87</v>
      </c>
      <c r="C87" s="6">
        <v>240080858</v>
      </c>
      <c r="D87" s="6">
        <v>5622</v>
      </c>
      <c r="E87" s="8" t="s">
        <v>95</v>
      </c>
      <c r="F87" s="8" t="s">
        <v>278</v>
      </c>
      <c r="G87" s="6">
        <v>0</v>
      </c>
      <c r="H87" s="8" t="s">
        <v>52</v>
      </c>
      <c r="I87" s="8" t="s">
        <v>95</v>
      </c>
      <c r="J87" s="8" t="s">
        <v>53</v>
      </c>
      <c r="K87" s="8" t="s">
        <v>69</v>
      </c>
      <c r="L87" s="8" t="s">
        <v>54</v>
      </c>
      <c r="M87" s="8" t="s">
        <v>33</v>
      </c>
      <c r="N87" s="8" t="s">
        <v>171</v>
      </c>
      <c r="O87" s="8">
        <v>0</v>
      </c>
      <c r="P87" s="8">
        <v>0</v>
      </c>
      <c r="Q87" s="6">
        <v>1</v>
      </c>
      <c r="R87" s="6">
        <v>1</v>
      </c>
      <c r="S87" s="6">
        <v>15516</v>
      </c>
      <c r="T87" s="6">
        <f>Data_1[[#This Row],[سعر البيع ]]*Data_1[[#This Row],[جميع الكميات]]</f>
        <v>15516</v>
      </c>
      <c r="U87" s="6">
        <v>15516</v>
      </c>
      <c r="V87" s="8" t="s">
        <v>56</v>
      </c>
      <c r="W87" s="15">
        <v>45589</v>
      </c>
      <c r="X87" s="15">
        <v>45610</v>
      </c>
      <c r="Y87" s="15">
        <v>45595</v>
      </c>
      <c r="Z87" s="8" t="s">
        <v>67</v>
      </c>
      <c r="AA87" s="8" t="s">
        <v>28</v>
      </c>
      <c r="AB87" s="6">
        <v>15</v>
      </c>
      <c r="AC87" s="6" t="str">
        <f>TEXT(Data_1[[#This Row],[ميعاد الطلب]],"MMMM")</f>
        <v>October</v>
      </c>
      <c r="AD87" s="8" t="s">
        <v>49</v>
      </c>
    </row>
    <row r="88" spans="2:30" x14ac:dyDescent="0.3">
      <c r="B88" s="6">
        <v>88</v>
      </c>
      <c r="C88" s="6">
        <v>240081061</v>
      </c>
      <c r="D88" s="6">
        <v>2488</v>
      </c>
      <c r="E88" s="8" t="s">
        <v>95</v>
      </c>
      <c r="F88" s="8" t="s">
        <v>278</v>
      </c>
      <c r="G88" s="6">
        <v>0</v>
      </c>
      <c r="H88" s="8" t="s">
        <v>52</v>
      </c>
      <c r="I88" s="8" t="s">
        <v>95</v>
      </c>
      <c r="J88" s="8" t="s">
        <v>53</v>
      </c>
      <c r="K88" s="8" t="s">
        <v>22</v>
      </c>
      <c r="L88" s="8" t="s">
        <v>38</v>
      </c>
      <c r="M88" s="8" t="s">
        <v>33</v>
      </c>
      <c r="N88" s="8" t="s">
        <v>172</v>
      </c>
      <c r="O88" s="8">
        <v>1</v>
      </c>
      <c r="P88" s="8">
        <v>10045</v>
      </c>
      <c r="Q88" s="6">
        <v>1</v>
      </c>
      <c r="R88" s="6">
        <v>0</v>
      </c>
      <c r="S88" s="6">
        <v>0</v>
      </c>
      <c r="T88" s="6">
        <f>Data_1[[#This Row],[سعر البيع ]]*Data_1[[#This Row],[جميع الكميات]]</f>
        <v>10045</v>
      </c>
      <c r="U88" s="6">
        <v>10045</v>
      </c>
      <c r="V88" s="8" t="s">
        <v>56</v>
      </c>
      <c r="W88" s="15">
        <v>45591</v>
      </c>
      <c r="X88" s="15">
        <v>45612</v>
      </c>
      <c r="Y88" s="15"/>
      <c r="Z88" s="8" t="s">
        <v>76</v>
      </c>
      <c r="AA88" s="8" t="s">
        <v>42</v>
      </c>
      <c r="AB88" s="6" t="s">
        <v>42</v>
      </c>
      <c r="AC88" s="6" t="str">
        <f>TEXT(Data_1[[#This Row],[ميعاد الطلب]],"MMMM")</f>
        <v>October</v>
      </c>
      <c r="AD88" s="8" t="s">
        <v>42</v>
      </c>
    </row>
    <row r="89" spans="2:30" x14ac:dyDescent="0.3">
      <c r="B89" s="6">
        <v>89</v>
      </c>
      <c r="C89" s="6">
        <v>1718948</v>
      </c>
      <c r="D89" s="6">
        <v>1286883</v>
      </c>
      <c r="E89" s="8" t="s">
        <v>145</v>
      </c>
      <c r="F89" s="8" t="s">
        <v>237</v>
      </c>
      <c r="G89" s="6">
        <v>0</v>
      </c>
      <c r="H89" s="8" t="s">
        <v>191</v>
      </c>
      <c r="I89" s="8" t="s">
        <v>21</v>
      </c>
      <c r="J89" s="8" t="s">
        <v>120</v>
      </c>
      <c r="K89" s="8" t="s">
        <v>22</v>
      </c>
      <c r="L89" s="8" t="s">
        <v>38</v>
      </c>
      <c r="M89" s="8" t="s">
        <v>33</v>
      </c>
      <c r="N89" s="8" t="s">
        <v>172</v>
      </c>
      <c r="O89" s="8">
        <v>0</v>
      </c>
      <c r="P89" s="8">
        <v>0</v>
      </c>
      <c r="Q89" s="6">
        <v>1</v>
      </c>
      <c r="R89" s="6">
        <v>1</v>
      </c>
      <c r="S89" s="6">
        <v>11649</v>
      </c>
      <c r="T89" s="6">
        <f>Data_1[[#This Row],[سعر البيع ]]*Data_1[[#This Row],[جميع الكميات]]</f>
        <v>11649</v>
      </c>
      <c r="U89" s="6">
        <v>11649</v>
      </c>
      <c r="V89" s="8" t="s">
        <v>26</v>
      </c>
      <c r="W89" s="15">
        <v>45591</v>
      </c>
      <c r="X89" s="15">
        <v>45606</v>
      </c>
      <c r="Y89" s="15">
        <v>45614</v>
      </c>
      <c r="Z89" s="8" t="s">
        <v>67</v>
      </c>
      <c r="AA89" s="8" t="s">
        <v>28</v>
      </c>
      <c r="AB89" s="6">
        <v>-8</v>
      </c>
      <c r="AC89" s="6" t="str">
        <f>TEXT(Data_1[[#This Row],[ميعاد الطلب]],"MMMM")</f>
        <v>October</v>
      </c>
      <c r="AD89" s="8" t="s">
        <v>29</v>
      </c>
    </row>
    <row r="90" spans="2:30" x14ac:dyDescent="0.3">
      <c r="B90" s="6">
        <v>90</v>
      </c>
      <c r="C90" s="6">
        <v>1718949</v>
      </c>
      <c r="D90" s="6">
        <v>1286883</v>
      </c>
      <c r="E90" s="8" t="s">
        <v>145</v>
      </c>
      <c r="F90" s="8" t="s">
        <v>237</v>
      </c>
      <c r="G90" s="6">
        <v>0</v>
      </c>
      <c r="H90" s="8" t="s">
        <v>191</v>
      </c>
      <c r="I90" s="8" t="s">
        <v>21</v>
      </c>
      <c r="J90" s="8" t="s">
        <v>120</v>
      </c>
      <c r="K90" s="8" t="s">
        <v>22</v>
      </c>
      <c r="L90" s="8" t="s">
        <v>38</v>
      </c>
      <c r="M90" s="8" t="s">
        <v>33</v>
      </c>
      <c r="N90" s="8" t="s">
        <v>172</v>
      </c>
      <c r="O90" s="8">
        <v>0</v>
      </c>
      <c r="P90" s="8">
        <v>0</v>
      </c>
      <c r="Q90" s="6">
        <v>1</v>
      </c>
      <c r="R90" s="6">
        <v>1</v>
      </c>
      <c r="S90" s="6">
        <v>11649</v>
      </c>
      <c r="T90" s="6">
        <f>Data_1[[#This Row],[سعر البيع ]]*Data_1[[#This Row],[جميع الكميات]]</f>
        <v>11649</v>
      </c>
      <c r="U90" s="6">
        <v>11649</v>
      </c>
      <c r="V90" s="8" t="s">
        <v>26</v>
      </c>
      <c r="W90" s="15">
        <v>45591</v>
      </c>
      <c r="X90" s="15">
        <v>45606</v>
      </c>
      <c r="Y90" s="15">
        <v>45614</v>
      </c>
      <c r="Z90" s="8" t="s">
        <v>67</v>
      </c>
      <c r="AA90" s="8" t="s">
        <v>28</v>
      </c>
      <c r="AB90" s="6">
        <v>-8</v>
      </c>
      <c r="AC90" s="6" t="str">
        <f>TEXT(Data_1[[#This Row],[ميعاد الطلب]],"MMMM")</f>
        <v>October</v>
      </c>
      <c r="AD90" s="8" t="s">
        <v>29</v>
      </c>
    </row>
    <row r="91" spans="2:30" x14ac:dyDescent="0.3">
      <c r="B91" s="6">
        <v>91</v>
      </c>
      <c r="C91" s="6">
        <v>9699</v>
      </c>
      <c r="D91" s="6">
        <v>7822</v>
      </c>
      <c r="E91" s="8" t="s">
        <v>267</v>
      </c>
      <c r="F91" s="8" t="s">
        <v>237</v>
      </c>
      <c r="G91" s="6">
        <v>1</v>
      </c>
      <c r="H91" s="8" t="s">
        <v>91</v>
      </c>
      <c r="I91" s="8" t="s">
        <v>21</v>
      </c>
      <c r="J91" s="8" t="s">
        <v>53</v>
      </c>
      <c r="K91" s="8" t="s">
        <v>22</v>
      </c>
      <c r="L91" s="8" t="s">
        <v>61</v>
      </c>
      <c r="M91" s="8" t="s">
        <v>24</v>
      </c>
      <c r="N91" s="8" t="s">
        <v>167</v>
      </c>
      <c r="O91" s="8">
        <v>0</v>
      </c>
      <c r="P91" s="8">
        <v>0</v>
      </c>
      <c r="Q91" s="6">
        <v>1</v>
      </c>
      <c r="R91" s="6">
        <v>1</v>
      </c>
      <c r="S91" s="6">
        <v>5100</v>
      </c>
      <c r="T91" s="6">
        <f>Data_1[[#This Row],[سعر البيع ]]*Data_1[[#This Row],[جميع الكميات]]</f>
        <v>5100</v>
      </c>
      <c r="U91" s="6">
        <v>5100</v>
      </c>
      <c r="V91" s="8" t="s">
        <v>26</v>
      </c>
      <c r="W91" s="15">
        <v>45593</v>
      </c>
      <c r="X91" s="15">
        <v>45607</v>
      </c>
      <c r="Y91" s="15">
        <v>45617</v>
      </c>
      <c r="Z91" s="8" t="s">
        <v>67</v>
      </c>
      <c r="AA91" s="8" t="s">
        <v>28</v>
      </c>
      <c r="AB91" s="6">
        <v>-10</v>
      </c>
      <c r="AC91" s="6" t="str">
        <f>TEXT(Data_1[[#This Row],[ميعاد الطلب]],"MMMM")</f>
        <v>October</v>
      </c>
      <c r="AD91" s="8" t="s">
        <v>29</v>
      </c>
    </row>
    <row r="92" spans="2:30" x14ac:dyDescent="0.3">
      <c r="B92" s="6">
        <v>92</v>
      </c>
      <c r="C92" s="6">
        <v>25667</v>
      </c>
      <c r="D92" s="6">
        <v>6366</v>
      </c>
      <c r="E92" s="8" t="s">
        <v>267</v>
      </c>
      <c r="F92" s="8" t="s">
        <v>237</v>
      </c>
      <c r="G92" s="6">
        <v>0</v>
      </c>
      <c r="H92" s="8" t="s">
        <v>91</v>
      </c>
      <c r="I92" s="8" t="s">
        <v>21</v>
      </c>
      <c r="J92" s="8" t="s">
        <v>53</v>
      </c>
      <c r="K92" s="8" t="s">
        <v>22</v>
      </c>
      <c r="L92" s="8" t="s">
        <v>61</v>
      </c>
      <c r="M92" s="8" t="s">
        <v>24</v>
      </c>
      <c r="N92" s="8" t="s">
        <v>167</v>
      </c>
      <c r="O92" s="8">
        <v>0</v>
      </c>
      <c r="P92" s="8">
        <v>0</v>
      </c>
      <c r="Q92" s="6">
        <v>1</v>
      </c>
      <c r="R92" s="6">
        <v>1</v>
      </c>
      <c r="S92" s="6">
        <v>5300</v>
      </c>
      <c r="T92" s="6">
        <f>Data_1[[#This Row],[سعر البيع ]]*Data_1[[#This Row],[جميع الكميات]]</f>
        <v>5300</v>
      </c>
      <c r="U92" s="6">
        <v>5300</v>
      </c>
      <c r="V92" s="8" t="s">
        <v>26</v>
      </c>
      <c r="W92" s="15">
        <v>45593</v>
      </c>
      <c r="X92" s="15">
        <v>45607</v>
      </c>
      <c r="Y92" s="15">
        <v>45617</v>
      </c>
      <c r="Z92" s="8" t="s">
        <v>67</v>
      </c>
      <c r="AA92" s="8" t="s">
        <v>28</v>
      </c>
      <c r="AB92" s="6">
        <v>-10</v>
      </c>
      <c r="AC92" s="6" t="str">
        <f>TEXT(Data_1[[#This Row],[ميعاد الطلب]],"MMMM")</f>
        <v>October</v>
      </c>
      <c r="AD92" s="8" t="s">
        <v>29</v>
      </c>
    </row>
    <row r="93" spans="2:30" x14ac:dyDescent="0.3">
      <c r="B93" s="6">
        <v>93</v>
      </c>
      <c r="C93" s="6">
        <v>1744766</v>
      </c>
      <c r="D93" s="6">
        <v>1298738</v>
      </c>
      <c r="E93" s="8" t="s">
        <v>268</v>
      </c>
      <c r="F93" s="8" t="s">
        <v>237</v>
      </c>
      <c r="G93" s="6">
        <v>1</v>
      </c>
      <c r="H93" s="8" t="s">
        <v>192</v>
      </c>
      <c r="I93" s="8" t="s">
        <v>21</v>
      </c>
      <c r="J93" s="8" t="s">
        <v>53</v>
      </c>
      <c r="K93" s="8" t="s">
        <v>22</v>
      </c>
      <c r="L93" s="8" t="s">
        <v>38</v>
      </c>
      <c r="M93" s="8" t="s">
        <v>24</v>
      </c>
      <c r="N93" s="8" t="s">
        <v>172</v>
      </c>
      <c r="O93" s="8">
        <v>0</v>
      </c>
      <c r="P93" s="8">
        <v>0</v>
      </c>
      <c r="Q93" s="6">
        <v>1</v>
      </c>
      <c r="R93" s="6">
        <v>1</v>
      </c>
      <c r="S93" s="6">
        <v>12099</v>
      </c>
      <c r="T93" s="6">
        <f>Data_1[[#This Row],[سعر البيع ]]*Data_1[[#This Row],[جميع الكميات]]</f>
        <v>12099</v>
      </c>
      <c r="U93" s="6">
        <v>12099</v>
      </c>
      <c r="V93" s="8" t="s">
        <v>26</v>
      </c>
      <c r="W93" s="15">
        <v>45607</v>
      </c>
      <c r="X93" s="15">
        <v>45622</v>
      </c>
      <c r="Y93" s="15">
        <v>45623</v>
      </c>
      <c r="Z93" s="8" t="s">
        <v>67</v>
      </c>
      <c r="AA93" s="8" t="s">
        <v>28</v>
      </c>
      <c r="AB93" s="6">
        <v>-1</v>
      </c>
      <c r="AC93" s="6" t="str">
        <f>TEXT(Data_1[[#This Row],[ميعاد الطلب]],"MMMM")</f>
        <v>November</v>
      </c>
      <c r="AD93" s="8" t="s">
        <v>29</v>
      </c>
    </row>
    <row r="94" spans="2:30" x14ac:dyDescent="0.3">
      <c r="B94" s="6">
        <v>94</v>
      </c>
      <c r="C94" s="6">
        <v>240082226</v>
      </c>
      <c r="D94" s="6">
        <v>20123</v>
      </c>
      <c r="E94" s="8" t="s">
        <v>95</v>
      </c>
      <c r="F94" s="8" t="s">
        <v>278</v>
      </c>
      <c r="G94" s="6">
        <v>0</v>
      </c>
      <c r="H94" s="8" t="s">
        <v>52</v>
      </c>
      <c r="I94" s="8" t="s">
        <v>95</v>
      </c>
      <c r="J94" s="8" t="s">
        <v>53</v>
      </c>
      <c r="K94" s="8" t="s">
        <v>69</v>
      </c>
      <c r="L94" s="8" t="s">
        <v>54</v>
      </c>
      <c r="M94" s="8" t="s">
        <v>33</v>
      </c>
      <c r="N94" s="8" t="s">
        <v>171</v>
      </c>
      <c r="O94" s="8">
        <v>0</v>
      </c>
      <c r="P94" s="8">
        <v>0</v>
      </c>
      <c r="Q94" s="6">
        <v>1</v>
      </c>
      <c r="R94" s="6">
        <v>1</v>
      </c>
      <c r="S94" s="6">
        <v>15872</v>
      </c>
      <c r="T94" s="6">
        <f>Data_1[[#This Row],[سعر البيع ]]*Data_1[[#This Row],[جميع الكميات]]</f>
        <v>15872</v>
      </c>
      <c r="U94" s="6">
        <v>15872</v>
      </c>
      <c r="V94" s="8" t="s">
        <v>56</v>
      </c>
      <c r="W94" s="15">
        <v>45604</v>
      </c>
      <c r="X94" s="15">
        <v>45600</v>
      </c>
      <c r="Y94" s="15">
        <v>45610</v>
      </c>
      <c r="Z94" s="8" t="s">
        <v>67</v>
      </c>
      <c r="AA94" s="8" t="s">
        <v>28</v>
      </c>
      <c r="AB94" s="6">
        <v>-10</v>
      </c>
      <c r="AC94" s="6" t="str">
        <f>TEXT(Data_1[[#This Row],[ميعاد الطلب]],"MMMM")</f>
        <v>November</v>
      </c>
      <c r="AD94" s="8" t="s">
        <v>29</v>
      </c>
    </row>
    <row r="95" spans="2:30" x14ac:dyDescent="0.3">
      <c r="B95" s="6">
        <v>95</v>
      </c>
      <c r="C95" s="6">
        <v>3290</v>
      </c>
      <c r="D95" s="6">
        <v>859666</v>
      </c>
      <c r="E95" s="8" t="s">
        <v>235</v>
      </c>
      <c r="F95" s="8" t="s">
        <v>278</v>
      </c>
      <c r="G95" s="6">
        <v>1</v>
      </c>
      <c r="H95" s="8" t="s">
        <v>57</v>
      </c>
      <c r="I95" s="8" t="s">
        <v>235</v>
      </c>
      <c r="J95" s="8" t="s">
        <v>53</v>
      </c>
      <c r="K95" s="8" t="s">
        <v>22</v>
      </c>
      <c r="L95" s="8" t="s">
        <v>61</v>
      </c>
      <c r="M95" s="8" t="s">
        <v>24</v>
      </c>
      <c r="N95" s="8" t="s">
        <v>167</v>
      </c>
      <c r="O95" s="8">
        <v>0</v>
      </c>
      <c r="P95" s="8">
        <v>0</v>
      </c>
      <c r="Q95" s="6">
        <v>1</v>
      </c>
      <c r="R95" s="6">
        <v>1</v>
      </c>
      <c r="S95" s="6">
        <v>4520</v>
      </c>
      <c r="T95" s="6">
        <f>Data_1[[#This Row],[سعر البيع ]]*Data_1[[#This Row],[جميع الكميات]]</f>
        <v>4520</v>
      </c>
      <c r="U95" s="6">
        <v>4520</v>
      </c>
      <c r="V95" s="8" t="s">
        <v>56</v>
      </c>
      <c r="W95" s="15">
        <v>45606</v>
      </c>
      <c r="X95" s="15">
        <v>45618</v>
      </c>
      <c r="Y95" s="15">
        <v>45617</v>
      </c>
      <c r="Z95" s="8" t="s">
        <v>67</v>
      </c>
      <c r="AA95" s="8" t="s">
        <v>28</v>
      </c>
      <c r="AB95" s="6">
        <v>1</v>
      </c>
      <c r="AC95" s="6" t="str">
        <f>TEXT(Data_1[[#This Row],[ميعاد الطلب]],"MMMM")</f>
        <v>November</v>
      </c>
      <c r="AD95" s="8" t="s">
        <v>49</v>
      </c>
    </row>
    <row r="96" spans="2:30" x14ac:dyDescent="0.3">
      <c r="B96" s="6">
        <v>96</v>
      </c>
      <c r="C96" s="6">
        <v>6725</v>
      </c>
      <c r="D96" s="6">
        <v>220001</v>
      </c>
      <c r="E96" s="8" t="s">
        <v>97</v>
      </c>
      <c r="F96" s="8" t="s">
        <v>278</v>
      </c>
      <c r="G96" s="6">
        <v>0</v>
      </c>
      <c r="H96" s="8" t="s">
        <v>163</v>
      </c>
      <c r="I96" s="8" t="s">
        <v>232</v>
      </c>
      <c r="J96" s="8" t="s">
        <v>53</v>
      </c>
      <c r="K96" s="8" t="s">
        <v>22</v>
      </c>
      <c r="L96" s="8" t="s">
        <v>38</v>
      </c>
      <c r="M96" s="8" t="s">
        <v>33</v>
      </c>
      <c r="N96" s="8" t="s">
        <v>172</v>
      </c>
      <c r="O96" s="8">
        <v>0</v>
      </c>
      <c r="P96" s="8">
        <v>0</v>
      </c>
      <c r="Q96" s="6">
        <v>1</v>
      </c>
      <c r="R96" s="6">
        <v>1</v>
      </c>
      <c r="S96" s="6">
        <v>5766</v>
      </c>
      <c r="T96" s="6">
        <f>Data_1[[#This Row],[سعر البيع ]]*Data_1[[#This Row],[جميع الكميات]]</f>
        <v>5766</v>
      </c>
      <c r="U96" s="6">
        <v>5766</v>
      </c>
      <c r="V96" s="8" t="s">
        <v>56</v>
      </c>
      <c r="W96" s="15">
        <v>45608</v>
      </c>
      <c r="X96" s="15">
        <v>45622</v>
      </c>
      <c r="Y96" s="15">
        <v>45621</v>
      </c>
      <c r="Z96" s="8" t="s">
        <v>67</v>
      </c>
      <c r="AA96" s="8" t="s">
        <v>28</v>
      </c>
      <c r="AB96" s="6">
        <v>1</v>
      </c>
      <c r="AC96" s="6" t="str">
        <f>TEXT(Data_1[[#This Row],[ميعاد الطلب]],"MMMM")</f>
        <v>November</v>
      </c>
      <c r="AD96" s="8" t="s">
        <v>49</v>
      </c>
    </row>
    <row r="97" spans="2:30" x14ac:dyDescent="0.3">
      <c r="B97" s="6">
        <v>97</v>
      </c>
      <c r="C97" s="6">
        <v>1752544</v>
      </c>
      <c r="D97" s="6">
        <v>1302011</v>
      </c>
      <c r="E97" s="8" t="s">
        <v>193</v>
      </c>
      <c r="F97" s="8" t="s">
        <v>237</v>
      </c>
      <c r="G97" s="6">
        <v>1</v>
      </c>
      <c r="H97" s="8" t="s">
        <v>91</v>
      </c>
      <c r="I97" s="8" t="s">
        <v>21</v>
      </c>
      <c r="J97" s="8" t="s">
        <v>53</v>
      </c>
      <c r="K97" s="8" t="s">
        <v>22</v>
      </c>
      <c r="L97" s="8" t="s">
        <v>61</v>
      </c>
      <c r="M97" s="8" t="s">
        <v>131</v>
      </c>
      <c r="N97" s="8" t="s">
        <v>167</v>
      </c>
      <c r="O97" s="8">
        <v>0</v>
      </c>
      <c r="P97" s="8">
        <v>0</v>
      </c>
      <c r="Q97" s="6">
        <v>1</v>
      </c>
      <c r="R97" s="6">
        <v>1</v>
      </c>
      <c r="S97" s="6">
        <v>11395</v>
      </c>
      <c r="T97" s="6">
        <f>Data_1[[#This Row],[سعر البيع ]]*Data_1[[#This Row],[جميع الكميات]]</f>
        <v>11395</v>
      </c>
      <c r="U97" s="6">
        <v>11395</v>
      </c>
      <c r="V97" s="8" t="s">
        <v>26</v>
      </c>
      <c r="W97" s="15">
        <v>45608</v>
      </c>
      <c r="X97" s="15">
        <v>45620</v>
      </c>
      <c r="Y97" s="15">
        <v>45623</v>
      </c>
      <c r="Z97" s="8" t="s">
        <v>67</v>
      </c>
      <c r="AA97" s="8" t="s">
        <v>28</v>
      </c>
      <c r="AB97" s="6">
        <v>-3</v>
      </c>
      <c r="AC97" s="6" t="str">
        <f>TEXT(Data_1[[#This Row],[ميعاد الطلب]],"MMMM")</f>
        <v>November</v>
      </c>
      <c r="AD97" s="8" t="s">
        <v>29</v>
      </c>
    </row>
    <row r="98" spans="2:30" x14ac:dyDescent="0.3">
      <c r="B98" s="6">
        <v>98</v>
      </c>
      <c r="C98" s="6">
        <v>1755075</v>
      </c>
      <c r="D98" s="6">
        <v>1303159</v>
      </c>
      <c r="E98" s="8" t="s">
        <v>194</v>
      </c>
      <c r="F98" s="8" t="s">
        <v>237</v>
      </c>
      <c r="G98" s="6">
        <v>1</v>
      </c>
      <c r="H98" s="8" t="s">
        <v>57</v>
      </c>
      <c r="I98" s="8" t="s">
        <v>21</v>
      </c>
      <c r="J98" s="8" t="s">
        <v>53</v>
      </c>
      <c r="K98" s="8" t="s">
        <v>22</v>
      </c>
      <c r="L98" s="8" t="s">
        <v>38</v>
      </c>
      <c r="M98" s="8" t="s">
        <v>24</v>
      </c>
      <c r="N98" s="8" t="s">
        <v>172</v>
      </c>
      <c r="O98" s="8">
        <v>0</v>
      </c>
      <c r="P98" s="8">
        <v>0</v>
      </c>
      <c r="Q98" s="6">
        <v>1</v>
      </c>
      <c r="R98" s="6">
        <v>1</v>
      </c>
      <c r="S98" s="6">
        <v>12919</v>
      </c>
      <c r="T98" s="6">
        <f>Data_1[[#This Row],[سعر البيع ]]*Data_1[[#This Row],[جميع الكميات]]</f>
        <v>12919</v>
      </c>
      <c r="U98" s="6">
        <v>12919</v>
      </c>
      <c r="V98" s="8" t="s">
        <v>26</v>
      </c>
      <c r="W98" s="15">
        <v>45610</v>
      </c>
      <c r="X98" s="15">
        <v>45626</v>
      </c>
      <c r="Y98" s="15">
        <v>45623</v>
      </c>
      <c r="Z98" s="8" t="s">
        <v>67</v>
      </c>
      <c r="AA98" s="8" t="s">
        <v>28</v>
      </c>
      <c r="AB98" s="6">
        <v>3</v>
      </c>
      <c r="AC98" s="6" t="str">
        <f>TEXT(Data_1[[#This Row],[ميعاد الطلب]],"MMMM")</f>
        <v>November</v>
      </c>
      <c r="AD98" s="8" t="s">
        <v>49</v>
      </c>
    </row>
    <row r="99" spans="2:30" x14ac:dyDescent="0.3">
      <c r="B99" s="6">
        <v>99</v>
      </c>
      <c r="C99" s="6">
        <v>6806</v>
      </c>
      <c r="D99" s="6">
        <v>45888</v>
      </c>
      <c r="E99" s="8" t="s">
        <v>97</v>
      </c>
      <c r="F99" s="8" t="s">
        <v>278</v>
      </c>
      <c r="G99" s="6">
        <v>0</v>
      </c>
      <c r="H99" s="8" t="s">
        <v>195</v>
      </c>
      <c r="I99" s="8" t="s">
        <v>232</v>
      </c>
      <c r="J99" s="8" t="s">
        <v>53</v>
      </c>
      <c r="K99" s="8" t="s">
        <v>22</v>
      </c>
      <c r="L99" s="8" t="s">
        <v>38</v>
      </c>
      <c r="M99" s="8" t="s">
        <v>50</v>
      </c>
      <c r="N99" s="8" t="s">
        <v>172</v>
      </c>
      <c r="O99" s="8">
        <v>0</v>
      </c>
      <c r="P99" s="8">
        <v>0</v>
      </c>
      <c r="Q99" s="6">
        <v>1</v>
      </c>
      <c r="R99" s="6">
        <v>1</v>
      </c>
      <c r="S99" s="6">
        <v>6376</v>
      </c>
      <c r="T99" s="6">
        <f>Data_1[[#This Row],[سعر البيع ]]*Data_1[[#This Row],[جميع الكميات]]</f>
        <v>6376</v>
      </c>
      <c r="U99" s="6">
        <v>6376</v>
      </c>
      <c r="V99" s="8" t="s">
        <v>56</v>
      </c>
      <c r="W99" s="15">
        <v>45610</v>
      </c>
      <c r="X99" s="15">
        <v>45623</v>
      </c>
      <c r="Y99" s="15">
        <v>45621</v>
      </c>
      <c r="Z99" s="8" t="s">
        <v>67</v>
      </c>
      <c r="AA99" s="8" t="s">
        <v>28</v>
      </c>
      <c r="AB99" s="6">
        <v>2</v>
      </c>
      <c r="AC99" s="6" t="str">
        <f>TEXT(Data_1[[#This Row],[ميعاد الطلب]],"MMMM")</f>
        <v>November</v>
      </c>
      <c r="AD99" s="8" t="s">
        <v>49</v>
      </c>
    </row>
    <row r="100" spans="2:30" x14ac:dyDescent="0.3">
      <c r="B100" s="6">
        <v>100</v>
      </c>
      <c r="C100" s="6">
        <v>6626</v>
      </c>
      <c r="D100" s="6">
        <v>6520</v>
      </c>
      <c r="E100" s="8" t="s">
        <v>97</v>
      </c>
      <c r="F100" s="8" t="s">
        <v>278</v>
      </c>
      <c r="G100" s="6">
        <v>0</v>
      </c>
      <c r="H100" s="8" t="s">
        <v>196</v>
      </c>
      <c r="I100" s="8" t="s">
        <v>232</v>
      </c>
      <c r="J100" s="8" t="s">
        <v>53</v>
      </c>
      <c r="K100" s="8" t="s">
        <v>22</v>
      </c>
      <c r="L100" s="8" t="s">
        <v>38</v>
      </c>
      <c r="M100" s="8" t="s">
        <v>33</v>
      </c>
      <c r="N100" s="8" t="s">
        <v>172</v>
      </c>
      <c r="O100" s="8">
        <v>0</v>
      </c>
      <c r="P100" s="8">
        <v>0</v>
      </c>
      <c r="Q100" s="6">
        <v>1</v>
      </c>
      <c r="R100" s="6">
        <v>1</v>
      </c>
      <c r="S100" s="6">
        <v>5294</v>
      </c>
      <c r="T100" s="6">
        <f>Data_1[[#This Row],[سعر البيع ]]*Data_1[[#This Row],[جميع الكميات]]</f>
        <v>5294</v>
      </c>
      <c r="U100" s="6">
        <v>5294</v>
      </c>
      <c r="V100" s="8" t="s">
        <v>56</v>
      </c>
      <c r="W100" s="15">
        <v>45610</v>
      </c>
      <c r="X100" s="15">
        <v>45623</v>
      </c>
      <c r="Y100" s="15">
        <v>45621</v>
      </c>
      <c r="Z100" s="8" t="s">
        <v>67</v>
      </c>
      <c r="AA100" s="8" t="s">
        <v>28</v>
      </c>
      <c r="AB100" s="6">
        <v>2</v>
      </c>
      <c r="AC100" s="6" t="str">
        <f>TEXT(Data_1[[#This Row],[ميعاد الطلب]],"MMMM")</f>
        <v>November</v>
      </c>
      <c r="AD100" s="8" t="s">
        <v>49</v>
      </c>
    </row>
    <row r="101" spans="2:30" x14ac:dyDescent="0.3">
      <c r="B101" s="6">
        <v>101</v>
      </c>
      <c r="C101" s="6">
        <v>265453625</v>
      </c>
      <c r="D101" s="6">
        <v>78520</v>
      </c>
      <c r="E101" s="8" t="s">
        <v>269</v>
      </c>
      <c r="F101" s="8" t="s">
        <v>237</v>
      </c>
      <c r="G101" s="6">
        <v>1</v>
      </c>
      <c r="H101" s="8" t="s">
        <v>60</v>
      </c>
      <c r="I101" s="8" t="s">
        <v>233</v>
      </c>
      <c r="J101" s="8" t="s">
        <v>120</v>
      </c>
      <c r="K101" s="8" t="s">
        <v>22</v>
      </c>
      <c r="L101" s="8" t="s">
        <v>38</v>
      </c>
      <c r="M101" s="8" t="s">
        <v>24</v>
      </c>
      <c r="N101" s="8" t="s">
        <v>172</v>
      </c>
      <c r="O101" s="8">
        <v>0</v>
      </c>
      <c r="P101" s="8">
        <v>0</v>
      </c>
      <c r="Q101" s="6">
        <v>1</v>
      </c>
      <c r="R101" s="6">
        <v>1</v>
      </c>
      <c r="S101" s="6">
        <v>7396</v>
      </c>
      <c r="T101" s="6">
        <f>Data_1[[#This Row],[سعر البيع ]]*Data_1[[#This Row],[جميع الكميات]]</f>
        <v>7396</v>
      </c>
      <c r="U101" s="6">
        <v>7396</v>
      </c>
      <c r="V101" s="8" t="s">
        <v>26</v>
      </c>
      <c r="W101" s="15">
        <v>45613</v>
      </c>
      <c r="X101" s="15">
        <v>45624</v>
      </c>
      <c r="Y101" s="15">
        <v>45622</v>
      </c>
      <c r="Z101" s="8" t="s">
        <v>67</v>
      </c>
      <c r="AA101" s="8" t="s">
        <v>28</v>
      </c>
      <c r="AB101" s="6">
        <v>2</v>
      </c>
      <c r="AC101" s="6" t="str">
        <f>TEXT(Data_1[[#This Row],[ميعاد الطلب]],"MMMM")</f>
        <v>November</v>
      </c>
      <c r="AD101" s="8" t="s">
        <v>49</v>
      </c>
    </row>
    <row r="102" spans="2:30" x14ac:dyDescent="0.3">
      <c r="B102" s="6">
        <v>102</v>
      </c>
      <c r="C102" s="6">
        <v>1762617</v>
      </c>
      <c r="D102" s="6">
        <v>1306879</v>
      </c>
      <c r="E102" s="8" t="s">
        <v>145</v>
      </c>
      <c r="F102" s="8" t="s">
        <v>237</v>
      </c>
      <c r="G102" s="6">
        <v>0</v>
      </c>
      <c r="H102" s="8" t="s">
        <v>60</v>
      </c>
      <c r="I102" s="8" t="s">
        <v>21</v>
      </c>
      <c r="J102" s="8" t="s">
        <v>120</v>
      </c>
      <c r="K102" s="8" t="s">
        <v>22</v>
      </c>
      <c r="L102" s="8" t="s">
        <v>38</v>
      </c>
      <c r="M102" s="8" t="s">
        <v>33</v>
      </c>
      <c r="N102" s="8" t="s">
        <v>172</v>
      </c>
      <c r="O102" s="8">
        <v>0</v>
      </c>
      <c r="P102" s="8">
        <v>0</v>
      </c>
      <c r="Q102" s="6">
        <v>1</v>
      </c>
      <c r="R102" s="6">
        <v>1</v>
      </c>
      <c r="S102" s="6">
        <v>13439</v>
      </c>
      <c r="T102" s="6">
        <f>Data_1[[#This Row],[سعر البيع ]]*Data_1[[#This Row],[جميع الكميات]]</f>
        <v>13439</v>
      </c>
      <c r="U102" s="6">
        <v>13439</v>
      </c>
      <c r="V102" s="8" t="s">
        <v>26</v>
      </c>
      <c r="W102" s="15">
        <v>45616</v>
      </c>
      <c r="X102" s="15">
        <v>45631</v>
      </c>
      <c r="Y102" s="15">
        <v>45622</v>
      </c>
      <c r="Z102" s="8" t="s">
        <v>67</v>
      </c>
      <c r="AA102" s="8" t="s">
        <v>28</v>
      </c>
      <c r="AB102" s="6">
        <v>9</v>
      </c>
      <c r="AC102" s="6" t="str">
        <f>TEXT(Data_1[[#This Row],[ميعاد الطلب]],"MMMM")</f>
        <v>November</v>
      </c>
      <c r="AD102" s="8" t="s">
        <v>49</v>
      </c>
    </row>
    <row r="103" spans="2:30" x14ac:dyDescent="0.3">
      <c r="B103" s="6">
        <v>103</v>
      </c>
      <c r="C103" s="6">
        <v>896302</v>
      </c>
      <c r="D103" s="6">
        <v>452013</v>
      </c>
      <c r="E103" s="8" t="s">
        <v>234</v>
      </c>
      <c r="F103" s="8" t="s">
        <v>278</v>
      </c>
      <c r="G103" s="6">
        <v>0</v>
      </c>
      <c r="H103" s="8" t="s">
        <v>68</v>
      </c>
      <c r="I103" s="8" t="s">
        <v>234</v>
      </c>
      <c r="J103" s="8" t="s">
        <v>53</v>
      </c>
      <c r="K103" s="8" t="s">
        <v>22</v>
      </c>
      <c r="L103" s="8" t="s">
        <v>61</v>
      </c>
      <c r="M103" s="8" t="s">
        <v>33</v>
      </c>
      <c r="N103" s="8" t="s">
        <v>167</v>
      </c>
      <c r="O103" s="8">
        <v>0</v>
      </c>
      <c r="P103" s="8">
        <v>0</v>
      </c>
      <c r="Q103" s="6">
        <v>1</v>
      </c>
      <c r="R103" s="6">
        <v>1</v>
      </c>
      <c r="S103" s="6">
        <v>5100</v>
      </c>
      <c r="T103" s="6">
        <f>Data_1[[#This Row],[سعر البيع ]]*Data_1[[#This Row],[جميع الكميات]]</f>
        <v>5100</v>
      </c>
      <c r="U103" s="6">
        <v>5100</v>
      </c>
      <c r="V103" s="8" t="s">
        <v>56</v>
      </c>
      <c r="W103" s="15">
        <v>45610</v>
      </c>
      <c r="X103" s="15">
        <v>45634</v>
      </c>
      <c r="Y103" s="15">
        <v>45619</v>
      </c>
      <c r="Z103" s="8" t="s">
        <v>67</v>
      </c>
      <c r="AA103" s="8" t="s">
        <v>28</v>
      </c>
      <c r="AB103" s="6">
        <v>15</v>
      </c>
      <c r="AC103" s="6" t="str">
        <f>TEXT(Data_1[[#This Row],[ميعاد الطلب]],"MMMM")</f>
        <v>November</v>
      </c>
      <c r="AD103" s="8" t="s">
        <v>49</v>
      </c>
    </row>
    <row r="104" spans="2:30" x14ac:dyDescent="0.3">
      <c r="B104" s="6">
        <v>104</v>
      </c>
      <c r="C104" s="6">
        <v>21569</v>
      </c>
      <c r="D104" s="6">
        <v>785210</v>
      </c>
      <c r="E104" s="8" t="s">
        <v>197</v>
      </c>
      <c r="F104" s="8" t="s">
        <v>237</v>
      </c>
      <c r="G104" s="6">
        <v>1</v>
      </c>
      <c r="H104" s="8" t="s">
        <v>72</v>
      </c>
      <c r="I104" s="8" t="s">
        <v>58</v>
      </c>
      <c r="J104" s="8" t="s">
        <v>53</v>
      </c>
      <c r="K104" s="8" t="s">
        <v>22</v>
      </c>
      <c r="L104" s="8" t="s">
        <v>61</v>
      </c>
      <c r="M104" s="8" t="s">
        <v>118</v>
      </c>
      <c r="N104" s="8" t="s">
        <v>167</v>
      </c>
      <c r="O104" s="8">
        <v>0</v>
      </c>
      <c r="P104" s="8">
        <v>0</v>
      </c>
      <c r="Q104" s="6">
        <v>1</v>
      </c>
      <c r="R104" s="6">
        <v>1</v>
      </c>
      <c r="S104" s="6">
        <v>6000</v>
      </c>
      <c r="T104" s="6">
        <f>Data_1[[#This Row],[سعر البيع ]]*Data_1[[#This Row],[جميع الكميات]]</f>
        <v>6000</v>
      </c>
      <c r="U104" s="6">
        <v>6000</v>
      </c>
      <c r="V104" s="8" t="s">
        <v>26</v>
      </c>
      <c r="W104" s="15">
        <v>45618</v>
      </c>
      <c r="X104" s="15">
        <v>45628</v>
      </c>
      <c r="Y104" s="15">
        <v>45623</v>
      </c>
      <c r="Z104" s="8" t="s">
        <v>67</v>
      </c>
      <c r="AA104" s="8" t="s">
        <v>28</v>
      </c>
      <c r="AB104" s="6">
        <v>5</v>
      </c>
      <c r="AC104" s="6" t="str">
        <f>TEXT(Data_1[[#This Row],[ميعاد الطلب]],"MMMM")</f>
        <v>November</v>
      </c>
      <c r="AD104" s="8" t="s">
        <v>49</v>
      </c>
    </row>
    <row r="105" spans="2:30" x14ac:dyDescent="0.3">
      <c r="B105" s="6">
        <v>105</v>
      </c>
      <c r="C105" s="6">
        <v>1765451</v>
      </c>
      <c r="D105" s="6">
        <v>1308241</v>
      </c>
      <c r="E105" s="8" t="s">
        <v>270</v>
      </c>
      <c r="F105" s="8" t="s">
        <v>237</v>
      </c>
      <c r="G105" s="6">
        <v>1</v>
      </c>
      <c r="H105" s="8" t="s">
        <v>198</v>
      </c>
      <c r="I105" s="8" t="s">
        <v>21</v>
      </c>
      <c r="J105" s="8" t="s">
        <v>53</v>
      </c>
      <c r="K105" s="8" t="s">
        <v>22</v>
      </c>
      <c r="L105" s="8" t="s">
        <v>61</v>
      </c>
      <c r="M105" s="8" t="s">
        <v>50</v>
      </c>
      <c r="N105" s="8" t="s">
        <v>167</v>
      </c>
      <c r="O105" s="8">
        <v>0</v>
      </c>
      <c r="P105" s="8">
        <v>0</v>
      </c>
      <c r="Q105" s="6">
        <v>1</v>
      </c>
      <c r="R105" s="6">
        <v>1</v>
      </c>
      <c r="S105" s="6">
        <v>10885</v>
      </c>
      <c r="T105" s="6">
        <f>Data_1[[#This Row],[سعر البيع ]]*Data_1[[#This Row],[جميع الكميات]]</f>
        <v>10885</v>
      </c>
      <c r="U105" s="6">
        <v>10885</v>
      </c>
      <c r="V105" s="8" t="s">
        <v>26</v>
      </c>
      <c r="W105" s="15">
        <v>45620</v>
      </c>
      <c r="X105" s="15">
        <v>45631</v>
      </c>
      <c r="Y105" s="15">
        <v>45636</v>
      </c>
      <c r="Z105" s="8" t="s">
        <v>67</v>
      </c>
      <c r="AA105" s="8" t="s">
        <v>28</v>
      </c>
      <c r="AB105" s="6">
        <v>-5</v>
      </c>
      <c r="AC105" s="6" t="str">
        <f>TEXT(Data_1[[#This Row],[ميعاد الطلب]],"MMMM")</f>
        <v>November</v>
      </c>
      <c r="AD105" s="8" t="s">
        <v>29</v>
      </c>
    </row>
    <row r="106" spans="2:30" x14ac:dyDescent="0.3">
      <c r="B106" s="6">
        <v>106</v>
      </c>
      <c r="C106" s="6">
        <v>4586222</v>
      </c>
      <c r="D106" s="6">
        <v>56988</v>
      </c>
      <c r="E106" s="8" t="s">
        <v>234</v>
      </c>
      <c r="F106" s="8" t="s">
        <v>278</v>
      </c>
      <c r="G106" s="6">
        <v>0</v>
      </c>
      <c r="H106" s="8" t="s">
        <v>68</v>
      </c>
      <c r="I106" s="8" t="s">
        <v>234</v>
      </c>
      <c r="J106" s="8" t="s">
        <v>53</v>
      </c>
      <c r="K106" s="8" t="s">
        <v>69</v>
      </c>
      <c r="L106" s="8" t="s">
        <v>199</v>
      </c>
      <c r="M106" s="8" t="s">
        <v>33</v>
      </c>
      <c r="N106" s="8" t="s">
        <v>200</v>
      </c>
      <c r="O106" s="8">
        <v>0</v>
      </c>
      <c r="P106" s="8">
        <v>0</v>
      </c>
      <c r="Q106" s="6">
        <v>1</v>
      </c>
      <c r="R106" s="6">
        <v>1</v>
      </c>
      <c r="S106" s="6">
        <v>6000</v>
      </c>
      <c r="T106" s="6">
        <f>Data_1[[#This Row],[سعر البيع ]]*Data_1[[#This Row],[جميع الكميات]]</f>
        <v>6000</v>
      </c>
      <c r="U106" s="6">
        <v>6000</v>
      </c>
      <c r="V106" s="8" t="s">
        <v>56</v>
      </c>
      <c r="W106" s="15">
        <v>45615</v>
      </c>
      <c r="X106" s="15">
        <v>45631</v>
      </c>
      <c r="Y106" s="15">
        <v>45616</v>
      </c>
      <c r="Z106" s="8" t="s">
        <v>201</v>
      </c>
      <c r="AA106" s="8" t="s">
        <v>28</v>
      </c>
      <c r="AB106" s="6">
        <v>15</v>
      </c>
      <c r="AC106" s="6" t="str">
        <f>TEXT(Data_1[[#This Row],[ميعاد الطلب]],"MMMM")</f>
        <v>November</v>
      </c>
      <c r="AD106" s="8" t="s">
        <v>49</v>
      </c>
    </row>
    <row r="107" spans="2:30" x14ac:dyDescent="0.3">
      <c r="B107" s="6">
        <v>107</v>
      </c>
      <c r="C107" s="6">
        <v>1782674</v>
      </c>
      <c r="D107" s="6">
        <v>1315860</v>
      </c>
      <c r="E107" s="8" t="s">
        <v>202</v>
      </c>
      <c r="F107" s="8" t="s">
        <v>237</v>
      </c>
      <c r="G107" s="6">
        <v>1</v>
      </c>
      <c r="H107" s="8" t="s">
        <v>203</v>
      </c>
      <c r="I107" s="8" t="s">
        <v>21</v>
      </c>
      <c r="J107" s="8" t="s">
        <v>32</v>
      </c>
      <c r="K107" s="8" t="s">
        <v>46</v>
      </c>
      <c r="L107" s="8" t="s">
        <v>108</v>
      </c>
      <c r="M107" s="8" t="s">
        <v>33</v>
      </c>
      <c r="N107" s="8" t="s">
        <v>162</v>
      </c>
      <c r="O107" s="8">
        <v>0</v>
      </c>
      <c r="P107" s="8">
        <v>0</v>
      </c>
      <c r="Q107" s="6">
        <v>1</v>
      </c>
      <c r="R107" s="6">
        <v>1</v>
      </c>
      <c r="S107" s="6">
        <v>8449</v>
      </c>
      <c r="T107" s="6">
        <f>Data_1[[#This Row],[سعر البيع ]]*Data_1[[#This Row],[جميع الكميات]]</f>
        <v>8449</v>
      </c>
      <c r="U107" s="6">
        <v>8449</v>
      </c>
      <c r="V107" s="8" t="s">
        <v>26</v>
      </c>
      <c r="W107" s="15">
        <v>45623</v>
      </c>
      <c r="X107" s="15">
        <v>45636</v>
      </c>
      <c r="Y107" s="15">
        <v>45649</v>
      </c>
      <c r="Z107" s="8" t="s">
        <v>27</v>
      </c>
      <c r="AA107" s="8" t="s">
        <v>28</v>
      </c>
      <c r="AB107" s="6">
        <v>-13</v>
      </c>
      <c r="AC107" s="6" t="str">
        <f>TEXT(Data_1[[#This Row],[ميعاد الطلب]],"MMMM")</f>
        <v>November</v>
      </c>
      <c r="AD107" s="8" t="s">
        <v>29</v>
      </c>
    </row>
    <row r="108" spans="2:30" x14ac:dyDescent="0.3">
      <c r="B108" s="6">
        <v>108</v>
      </c>
      <c r="C108" s="6">
        <v>1781530</v>
      </c>
      <c r="D108" s="6">
        <v>1315450</v>
      </c>
      <c r="E108" s="8" t="s">
        <v>204</v>
      </c>
      <c r="F108" s="8" t="s">
        <v>237</v>
      </c>
      <c r="G108" s="6">
        <v>1</v>
      </c>
      <c r="H108" s="8" t="s">
        <v>83</v>
      </c>
      <c r="I108" s="8" t="s">
        <v>21</v>
      </c>
      <c r="J108" s="8" t="s">
        <v>53</v>
      </c>
      <c r="K108" s="8" t="s">
        <v>46</v>
      </c>
      <c r="L108" s="8" t="s">
        <v>215</v>
      </c>
      <c r="M108" s="8" t="s">
        <v>24</v>
      </c>
      <c r="N108" s="8" t="s">
        <v>205</v>
      </c>
      <c r="O108" s="8">
        <v>0</v>
      </c>
      <c r="P108" s="8">
        <v>0</v>
      </c>
      <c r="Q108" s="6">
        <v>1</v>
      </c>
      <c r="R108" s="6">
        <v>1</v>
      </c>
      <c r="S108" s="6">
        <v>10249</v>
      </c>
      <c r="T108" s="6">
        <f>Data_1[[#This Row],[سعر البيع ]]*Data_1[[#This Row],[جميع الكميات]]</f>
        <v>10249</v>
      </c>
      <c r="U108" s="6">
        <v>10249</v>
      </c>
      <c r="V108" s="8" t="s">
        <v>26</v>
      </c>
      <c r="W108" s="15">
        <v>45623</v>
      </c>
      <c r="X108" s="15">
        <v>45636</v>
      </c>
      <c r="Y108" s="15">
        <v>45645</v>
      </c>
      <c r="Z108" s="8" t="s">
        <v>67</v>
      </c>
      <c r="AA108" s="8" t="s">
        <v>28</v>
      </c>
      <c r="AB108" s="6">
        <v>-9</v>
      </c>
      <c r="AC108" s="6" t="str">
        <f>TEXT(Data_1[[#This Row],[ميعاد الطلب]],"MMMM")</f>
        <v>November</v>
      </c>
      <c r="AD108" s="8" t="s">
        <v>29</v>
      </c>
    </row>
    <row r="109" spans="2:30" x14ac:dyDescent="0.3">
      <c r="B109" s="6">
        <v>109</v>
      </c>
      <c r="C109" s="6">
        <v>1795447</v>
      </c>
      <c r="D109" s="6">
        <v>1321584</v>
      </c>
      <c r="E109" s="8" t="s">
        <v>206</v>
      </c>
      <c r="F109" s="8" t="s">
        <v>237</v>
      </c>
      <c r="G109" s="6">
        <v>1</v>
      </c>
      <c r="H109" s="8" t="s">
        <v>207</v>
      </c>
      <c r="I109" s="8" t="s">
        <v>21</v>
      </c>
      <c r="J109" s="8" t="s">
        <v>32</v>
      </c>
      <c r="K109" s="8" t="s">
        <v>22</v>
      </c>
      <c r="L109" s="8" t="s">
        <v>38</v>
      </c>
      <c r="M109" s="8" t="s">
        <v>33</v>
      </c>
      <c r="N109" s="8" t="s">
        <v>172</v>
      </c>
      <c r="O109" s="8">
        <v>1</v>
      </c>
      <c r="P109" s="8">
        <v>14905</v>
      </c>
      <c r="Q109" s="6">
        <v>1</v>
      </c>
      <c r="R109" s="6">
        <v>0</v>
      </c>
      <c r="S109" s="6">
        <v>0</v>
      </c>
      <c r="T109" s="6">
        <f>Data_1[[#This Row],[سعر البيع ]]*Data_1[[#This Row],[جميع الكميات]]</f>
        <v>14905</v>
      </c>
      <c r="U109" s="6">
        <v>14905</v>
      </c>
      <c r="V109" s="8" t="s">
        <v>26</v>
      </c>
      <c r="W109" s="15">
        <v>45625</v>
      </c>
      <c r="X109" s="15">
        <v>45641</v>
      </c>
      <c r="Y109" s="15"/>
      <c r="Z109" s="8" t="s">
        <v>76</v>
      </c>
      <c r="AA109" s="8" t="s">
        <v>42</v>
      </c>
      <c r="AB109" s="6" t="s">
        <v>42</v>
      </c>
      <c r="AC109" s="6" t="str">
        <f>TEXT(Data_1[[#This Row],[ميعاد الطلب]],"MMMM")</f>
        <v>November</v>
      </c>
      <c r="AD109" s="8" t="s">
        <v>42</v>
      </c>
    </row>
    <row r="110" spans="2:30" x14ac:dyDescent="0.3">
      <c r="B110" s="6">
        <v>110</v>
      </c>
      <c r="C110" s="6">
        <v>1808440</v>
      </c>
      <c r="D110" s="6">
        <v>1327172</v>
      </c>
      <c r="E110" s="8" t="s">
        <v>208</v>
      </c>
      <c r="F110" s="8" t="s">
        <v>237</v>
      </c>
      <c r="G110" s="6">
        <v>1</v>
      </c>
      <c r="H110" s="8" t="s">
        <v>85</v>
      </c>
      <c r="I110" s="8" t="s">
        <v>21</v>
      </c>
      <c r="J110" s="8" t="s">
        <v>53</v>
      </c>
      <c r="K110" s="8" t="s">
        <v>46</v>
      </c>
      <c r="L110" s="8" t="s">
        <v>215</v>
      </c>
      <c r="M110" s="8" t="s">
        <v>33</v>
      </c>
      <c r="N110" s="8" t="s">
        <v>205</v>
      </c>
      <c r="O110" s="8">
        <v>1</v>
      </c>
      <c r="P110" s="8">
        <v>10249</v>
      </c>
      <c r="Q110" s="6">
        <v>1</v>
      </c>
      <c r="R110" s="6">
        <v>0</v>
      </c>
      <c r="S110" s="6">
        <v>0</v>
      </c>
      <c r="T110" s="6">
        <f>Data_1[[#This Row],[سعر البيع ]]*Data_1[[#This Row],[جميع الكميات]]</f>
        <v>10249</v>
      </c>
      <c r="U110" s="6">
        <v>10249</v>
      </c>
      <c r="V110" s="8" t="s">
        <v>26</v>
      </c>
      <c r="W110" s="15">
        <v>45626</v>
      </c>
      <c r="X110" s="15">
        <v>45638</v>
      </c>
      <c r="Y110" s="15"/>
      <c r="Z110" s="8" t="s">
        <v>76</v>
      </c>
      <c r="AA110" s="8" t="s">
        <v>42</v>
      </c>
      <c r="AB110" s="6" t="s">
        <v>42</v>
      </c>
      <c r="AC110" s="6" t="str">
        <f>TEXT(Data_1[[#This Row],[ميعاد الطلب]],"MMMM")</f>
        <v>November</v>
      </c>
      <c r="AD110" s="8" t="s">
        <v>42</v>
      </c>
    </row>
    <row r="111" spans="2:30" x14ac:dyDescent="0.3">
      <c r="B111" s="6">
        <v>111</v>
      </c>
      <c r="C111" s="6">
        <v>1808441</v>
      </c>
      <c r="D111" s="6">
        <v>1327172</v>
      </c>
      <c r="E111" s="8" t="s">
        <v>208</v>
      </c>
      <c r="F111" s="8" t="s">
        <v>237</v>
      </c>
      <c r="G111" s="6">
        <v>0</v>
      </c>
      <c r="H111" s="8" t="s">
        <v>85</v>
      </c>
      <c r="I111" s="8" t="s">
        <v>21</v>
      </c>
      <c r="J111" s="8" t="s">
        <v>53</v>
      </c>
      <c r="K111" s="8" t="s">
        <v>46</v>
      </c>
      <c r="L111" s="8" t="s">
        <v>108</v>
      </c>
      <c r="M111" s="8" t="s">
        <v>33</v>
      </c>
      <c r="N111" s="8" t="s">
        <v>169</v>
      </c>
      <c r="O111" s="8">
        <v>1</v>
      </c>
      <c r="P111" s="8">
        <v>9029</v>
      </c>
      <c r="Q111" s="6">
        <v>1</v>
      </c>
      <c r="R111" s="6">
        <v>0</v>
      </c>
      <c r="S111" s="6">
        <v>0</v>
      </c>
      <c r="T111" s="6">
        <f>Data_1[[#This Row],[سعر البيع ]]*Data_1[[#This Row],[جميع الكميات]]</f>
        <v>9029</v>
      </c>
      <c r="U111" s="6">
        <v>9029</v>
      </c>
      <c r="V111" s="8" t="s">
        <v>26</v>
      </c>
      <c r="W111" s="15">
        <v>45626</v>
      </c>
      <c r="X111" s="15">
        <v>45638</v>
      </c>
      <c r="Y111" s="15"/>
      <c r="Z111" s="8" t="s">
        <v>76</v>
      </c>
      <c r="AA111" s="8" t="s">
        <v>42</v>
      </c>
      <c r="AB111" s="6" t="s">
        <v>42</v>
      </c>
      <c r="AC111" s="6" t="str">
        <f>TEXT(Data_1[[#This Row],[ميعاد الطلب]],"MMMM")</f>
        <v>November</v>
      </c>
      <c r="AD111" s="8" t="s">
        <v>42</v>
      </c>
    </row>
    <row r="112" spans="2:30" x14ac:dyDescent="0.3">
      <c r="B112" s="6">
        <v>112</v>
      </c>
      <c r="C112" s="6">
        <v>1805052</v>
      </c>
      <c r="D112" s="6">
        <v>1325637</v>
      </c>
      <c r="E112" s="8" t="s">
        <v>209</v>
      </c>
      <c r="F112" s="8" t="s">
        <v>237</v>
      </c>
      <c r="G112" s="6">
        <v>1</v>
      </c>
      <c r="H112" s="8" t="s">
        <v>103</v>
      </c>
      <c r="I112" s="8" t="s">
        <v>21</v>
      </c>
      <c r="J112" s="8" t="s">
        <v>104</v>
      </c>
      <c r="K112" s="8" t="s">
        <v>46</v>
      </c>
      <c r="L112" s="8" t="s">
        <v>78</v>
      </c>
      <c r="M112" s="8" t="s">
        <v>33</v>
      </c>
      <c r="N112" s="8" t="s">
        <v>210</v>
      </c>
      <c r="O112" s="8">
        <v>0</v>
      </c>
      <c r="P112" s="8">
        <v>0</v>
      </c>
      <c r="Q112" s="6">
        <v>2</v>
      </c>
      <c r="R112" s="6">
        <v>2</v>
      </c>
      <c r="S112" s="6">
        <v>18058</v>
      </c>
      <c r="T112" s="6">
        <f>Data_1[[#This Row],[سعر البيع ]]*Data_1[[#This Row],[جميع الكميات]]</f>
        <v>18058</v>
      </c>
      <c r="U112" s="6">
        <v>9029</v>
      </c>
      <c r="V112" s="8" t="s">
        <v>26</v>
      </c>
      <c r="W112" s="15">
        <v>45626</v>
      </c>
      <c r="X112" s="15">
        <v>45638</v>
      </c>
      <c r="Y112" s="15">
        <v>45635</v>
      </c>
      <c r="Z112" s="8" t="s">
        <v>67</v>
      </c>
      <c r="AA112" s="8" t="s">
        <v>28</v>
      </c>
      <c r="AB112" s="6">
        <v>3</v>
      </c>
      <c r="AC112" s="6" t="str">
        <f>TEXT(Data_1[[#This Row],[ميعاد الطلب]],"MMMM")</f>
        <v>November</v>
      </c>
      <c r="AD112" s="8" t="s">
        <v>49</v>
      </c>
    </row>
    <row r="113" spans="2:30" x14ac:dyDescent="0.3">
      <c r="B113" s="6">
        <v>113</v>
      </c>
      <c r="C113" s="6">
        <v>1813823</v>
      </c>
      <c r="D113" s="6">
        <v>1329646</v>
      </c>
      <c r="E113" s="8" t="s">
        <v>211</v>
      </c>
      <c r="F113" s="8" t="s">
        <v>237</v>
      </c>
      <c r="G113" s="6">
        <v>1</v>
      </c>
      <c r="H113" s="8" t="s">
        <v>212</v>
      </c>
      <c r="I113" s="8" t="s">
        <v>21</v>
      </c>
      <c r="J113" s="8" t="s">
        <v>53</v>
      </c>
      <c r="K113" s="8" t="s">
        <v>22</v>
      </c>
      <c r="L113" s="8" t="s">
        <v>38</v>
      </c>
      <c r="M113" s="8" t="s">
        <v>24</v>
      </c>
      <c r="N113" s="8" t="s">
        <v>172</v>
      </c>
      <c r="O113" s="8">
        <v>1</v>
      </c>
      <c r="P113" s="8">
        <v>12099</v>
      </c>
      <c r="Q113" s="6">
        <v>1</v>
      </c>
      <c r="R113" s="6">
        <v>0</v>
      </c>
      <c r="S113" s="6">
        <v>0</v>
      </c>
      <c r="T113" s="6">
        <f>Data_1[[#This Row],[سعر البيع ]]*Data_1[[#This Row],[جميع الكميات]]</f>
        <v>12099</v>
      </c>
      <c r="U113" s="6">
        <v>12099</v>
      </c>
      <c r="V113" s="8" t="s">
        <v>26</v>
      </c>
      <c r="W113" s="15">
        <v>45628</v>
      </c>
      <c r="X113" s="15">
        <v>45643</v>
      </c>
      <c r="Y113" s="15">
        <v>45635</v>
      </c>
      <c r="Z113" s="8" t="s">
        <v>76</v>
      </c>
      <c r="AA113" s="8" t="s">
        <v>42</v>
      </c>
      <c r="AB113" s="6" t="s">
        <v>42</v>
      </c>
      <c r="AC113" s="6" t="str">
        <f>TEXT(Data_1[[#This Row],[ميعاد الطلب]],"MMMM")</f>
        <v>December</v>
      </c>
      <c r="AD113" s="8" t="s">
        <v>42</v>
      </c>
    </row>
    <row r="114" spans="2:30" x14ac:dyDescent="0.3">
      <c r="B114" s="6">
        <v>114</v>
      </c>
      <c r="C114" s="6">
        <v>7152</v>
      </c>
      <c r="D114" s="6">
        <v>10236</v>
      </c>
      <c r="E114" s="8" t="s">
        <v>97</v>
      </c>
      <c r="F114" s="8" t="s">
        <v>278</v>
      </c>
      <c r="G114" s="6">
        <v>0</v>
      </c>
      <c r="H114" s="8" t="s">
        <v>163</v>
      </c>
      <c r="I114" s="8" t="s">
        <v>232</v>
      </c>
      <c r="J114" s="8" t="s">
        <v>53</v>
      </c>
      <c r="K114" s="8" t="s">
        <v>22</v>
      </c>
      <c r="L114" s="8" t="s">
        <v>38</v>
      </c>
      <c r="M114" s="8" t="s">
        <v>39</v>
      </c>
      <c r="N114" s="8" t="s">
        <v>172</v>
      </c>
      <c r="O114" s="8">
        <v>0</v>
      </c>
      <c r="P114" s="8">
        <v>0</v>
      </c>
      <c r="Q114" s="6">
        <v>1</v>
      </c>
      <c r="R114" s="6">
        <v>1</v>
      </c>
      <c r="S114" s="6">
        <v>5217</v>
      </c>
      <c r="T114" s="6">
        <f>Data_1[[#This Row],[سعر البيع ]]*Data_1[[#This Row],[جميع الكميات]]</f>
        <v>5217</v>
      </c>
      <c r="U114" s="6">
        <v>5217</v>
      </c>
      <c r="V114" s="8" t="s">
        <v>56</v>
      </c>
      <c r="W114" s="15">
        <v>45627</v>
      </c>
      <c r="X114" s="15">
        <v>45640</v>
      </c>
      <c r="Y114" s="15">
        <v>45636</v>
      </c>
      <c r="Z114" s="8" t="s">
        <v>67</v>
      </c>
      <c r="AA114" s="8" t="s">
        <v>28</v>
      </c>
      <c r="AB114" s="6">
        <v>4</v>
      </c>
      <c r="AC114" s="6" t="str">
        <f>TEXT(Data_1[[#This Row],[ميعاد الطلب]],"MMMM")</f>
        <v>December</v>
      </c>
      <c r="AD114" s="8" t="s">
        <v>49</v>
      </c>
    </row>
    <row r="115" spans="2:30" x14ac:dyDescent="0.3">
      <c r="B115" s="6">
        <v>115</v>
      </c>
      <c r="C115" s="6">
        <v>1810950</v>
      </c>
      <c r="D115" s="6">
        <v>1328141</v>
      </c>
      <c r="E115" s="8" t="s">
        <v>271</v>
      </c>
      <c r="F115" s="8" t="s">
        <v>237</v>
      </c>
      <c r="G115" s="6">
        <v>1</v>
      </c>
      <c r="H115" s="8" t="s">
        <v>148</v>
      </c>
      <c r="I115" s="8" t="s">
        <v>21</v>
      </c>
      <c r="J115" s="8" t="s">
        <v>99</v>
      </c>
      <c r="K115" s="8" t="s">
        <v>22</v>
      </c>
      <c r="L115" s="8" t="s">
        <v>23</v>
      </c>
      <c r="M115" s="8" t="s">
        <v>33</v>
      </c>
      <c r="N115" s="8" t="s">
        <v>177</v>
      </c>
      <c r="O115" s="8">
        <v>0</v>
      </c>
      <c r="P115" s="8">
        <v>0</v>
      </c>
      <c r="Q115" s="6">
        <v>1</v>
      </c>
      <c r="R115" s="6">
        <v>1</v>
      </c>
      <c r="S115" s="6">
        <v>10249</v>
      </c>
      <c r="T115" s="6">
        <f>Data_1[[#This Row],[سعر البيع ]]*Data_1[[#This Row],[جميع الكميات]]</f>
        <v>10249</v>
      </c>
      <c r="U115" s="6">
        <v>10249</v>
      </c>
      <c r="V115" s="8" t="s">
        <v>26</v>
      </c>
      <c r="W115" s="15">
        <v>45630</v>
      </c>
      <c r="X115" s="15">
        <v>45640</v>
      </c>
      <c r="Y115" s="15">
        <v>45645</v>
      </c>
      <c r="Z115" s="8" t="s">
        <v>67</v>
      </c>
      <c r="AA115" s="8" t="s">
        <v>28</v>
      </c>
      <c r="AB115" s="6">
        <v>-5</v>
      </c>
      <c r="AC115" s="6" t="str">
        <f>TEXT(Data_1[[#This Row],[ميعاد الطلب]],"MMMM")</f>
        <v>December</v>
      </c>
      <c r="AD115" s="8" t="s">
        <v>29</v>
      </c>
    </row>
    <row r="116" spans="2:30" x14ac:dyDescent="0.3">
      <c r="B116" s="6">
        <v>116</v>
      </c>
      <c r="C116" s="6">
        <v>240085463</v>
      </c>
      <c r="D116" s="6">
        <v>12000</v>
      </c>
      <c r="E116" s="8" t="s">
        <v>213</v>
      </c>
      <c r="F116" s="8" t="s">
        <v>237</v>
      </c>
      <c r="G116" s="6">
        <v>1</v>
      </c>
      <c r="H116" s="8" t="s">
        <v>214</v>
      </c>
      <c r="I116" s="8" t="s">
        <v>95</v>
      </c>
      <c r="J116" s="8" t="s">
        <v>53</v>
      </c>
      <c r="K116" s="8" t="s">
        <v>22</v>
      </c>
      <c r="L116" s="8" t="s">
        <v>38</v>
      </c>
      <c r="M116" s="8" t="s">
        <v>33</v>
      </c>
      <c r="N116" s="8" t="s">
        <v>172</v>
      </c>
      <c r="O116" s="8">
        <v>0</v>
      </c>
      <c r="P116" s="8">
        <v>0</v>
      </c>
      <c r="Q116" s="6">
        <v>1</v>
      </c>
      <c r="R116" s="6">
        <v>1</v>
      </c>
      <c r="S116" s="6">
        <v>10445</v>
      </c>
      <c r="T116" s="6">
        <f>Data_1[[#This Row],[سعر البيع ]]*Data_1[[#This Row],[جميع الكميات]]</f>
        <v>10445</v>
      </c>
      <c r="U116" s="6">
        <v>10445</v>
      </c>
      <c r="V116" s="8" t="s">
        <v>26</v>
      </c>
      <c r="W116" s="15">
        <v>45635</v>
      </c>
      <c r="X116" s="15">
        <v>45657</v>
      </c>
      <c r="Y116" s="15">
        <v>45638</v>
      </c>
      <c r="Z116" s="8" t="s">
        <v>67</v>
      </c>
      <c r="AA116" s="8" t="s">
        <v>28</v>
      </c>
      <c r="AB116" s="6">
        <v>19</v>
      </c>
      <c r="AC116" s="6" t="str">
        <f>TEXT(Data_1[[#This Row],[ميعاد الطلب]],"MMMM")</f>
        <v>December</v>
      </c>
      <c r="AD116" s="8" t="s">
        <v>49</v>
      </c>
    </row>
    <row r="117" spans="2:30" x14ac:dyDescent="0.3">
      <c r="B117" s="6">
        <v>117</v>
      </c>
      <c r="C117" s="6">
        <v>1818591</v>
      </c>
      <c r="D117" s="6">
        <v>1332300</v>
      </c>
      <c r="E117" s="8" t="s">
        <v>272</v>
      </c>
      <c r="F117" s="8" t="s">
        <v>237</v>
      </c>
      <c r="G117" s="6">
        <v>1</v>
      </c>
      <c r="H117" s="8" t="s">
        <v>85</v>
      </c>
      <c r="I117" s="8" t="s">
        <v>21</v>
      </c>
      <c r="J117" s="8" t="s">
        <v>53</v>
      </c>
      <c r="K117" s="8" t="s">
        <v>46</v>
      </c>
      <c r="L117" s="8" t="s">
        <v>215</v>
      </c>
      <c r="M117" s="8" t="s">
        <v>33</v>
      </c>
      <c r="N117" s="8" t="s">
        <v>205</v>
      </c>
      <c r="O117" s="8">
        <v>0</v>
      </c>
      <c r="P117" s="8">
        <v>0</v>
      </c>
      <c r="Q117" s="6">
        <v>1</v>
      </c>
      <c r="R117" s="6">
        <v>1</v>
      </c>
      <c r="S117" s="6">
        <v>11199</v>
      </c>
      <c r="T117" s="6">
        <f>Data_1[[#This Row],[سعر البيع ]]*Data_1[[#This Row],[جميع الكميات]]</f>
        <v>11199</v>
      </c>
      <c r="U117" s="6">
        <v>11199</v>
      </c>
      <c r="V117" s="8" t="s">
        <v>26</v>
      </c>
      <c r="W117" s="15">
        <v>45638</v>
      </c>
      <c r="X117" s="15">
        <v>45650</v>
      </c>
      <c r="Y117" s="15">
        <v>45645</v>
      </c>
      <c r="Z117" s="8" t="s">
        <v>67</v>
      </c>
      <c r="AA117" s="8" t="s">
        <v>28</v>
      </c>
      <c r="AB117" s="6">
        <v>5</v>
      </c>
      <c r="AC117" s="6" t="str">
        <f>TEXT(Data_1[[#This Row],[ميعاد الطلب]],"MMMM")</f>
        <v>December</v>
      </c>
      <c r="AD117" s="8" t="s">
        <v>49</v>
      </c>
    </row>
    <row r="118" spans="2:30" x14ac:dyDescent="0.3">
      <c r="B118" s="6">
        <v>118</v>
      </c>
      <c r="C118" s="6">
        <v>1818396</v>
      </c>
      <c r="D118" s="6">
        <v>1332179</v>
      </c>
      <c r="E118" s="8" t="s">
        <v>216</v>
      </c>
      <c r="F118" s="8" t="s">
        <v>237</v>
      </c>
      <c r="G118" s="6">
        <v>1</v>
      </c>
      <c r="H118" s="8" t="s">
        <v>60</v>
      </c>
      <c r="I118" s="8" t="s">
        <v>21</v>
      </c>
      <c r="J118" s="8" t="s">
        <v>120</v>
      </c>
      <c r="K118" s="8" t="s">
        <v>22</v>
      </c>
      <c r="L118" s="8" t="s">
        <v>38</v>
      </c>
      <c r="M118" s="8" t="s">
        <v>33</v>
      </c>
      <c r="N118" s="8" t="s">
        <v>217</v>
      </c>
      <c r="O118" s="8">
        <v>0</v>
      </c>
      <c r="P118" s="8">
        <v>0</v>
      </c>
      <c r="Q118" s="6">
        <v>1</v>
      </c>
      <c r="R118" s="6">
        <v>1</v>
      </c>
      <c r="S118" s="6">
        <v>13099</v>
      </c>
      <c r="T118" s="6">
        <f>Data_1[[#This Row],[سعر البيع ]]*Data_1[[#This Row],[جميع الكميات]]</f>
        <v>13099</v>
      </c>
      <c r="U118" s="6">
        <v>13099</v>
      </c>
      <c r="V118" s="8" t="s">
        <v>26</v>
      </c>
      <c r="W118" s="15">
        <v>45638</v>
      </c>
      <c r="X118" s="15">
        <v>45654</v>
      </c>
      <c r="Y118" s="15">
        <v>45655</v>
      </c>
      <c r="Z118" s="8" t="s">
        <v>67</v>
      </c>
      <c r="AA118" s="8" t="s">
        <v>28</v>
      </c>
      <c r="AB118" s="6">
        <v>-1</v>
      </c>
      <c r="AC118" s="6" t="str">
        <f>TEXT(Data_1[[#This Row],[ميعاد الطلب]],"MMMM")</f>
        <v>December</v>
      </c>
      <c r="AD118" s="8" t="s">
        <v>29</v>
      </c>
    </row>
    <row r="119" spans="2:30" x14ac:dyDescent="0.3">
      <c r="B119" s="6">
        <v>119</v>
      </c>
      <c r="C119" s="6">
        <v>240085758</v>
      </c>
      <c r="D119" s="6">
        <v>10000</v>
      </c>
      <c r="E119" s="8" t="s">
        <v>95</v>
      </c>
      <c r="F119" s="8" t="s">
        <v>278</v>
      </c>
      <c r="G119" s="6">
        <v>0</v>
      </c>
      <c r="H119" s="8" t="s">
        <v>52</v>
      </c>
      <c r="I119" s="8" t="s">
        <v>95</v>
      </c>
      <c r="J119" s="8" t="s">
        <v>53</v>
      </c>
      <c r="K119" s="8" t="s">
        <v>69</v>
      </c>
      <c r="L119" s="8" t="s">
        <v>54</v>
      </c>
      <c r="M119" s="8" t="s">
        <v>33</v>
      </c>
      <c r="N119" s="8" t="s">
        <v>218</v>
      </c>
      <c r="O119" s="8">
        <v>0</v>
      </c>
      <c r="P119" s="8">
        <v>0</v>
      </c>
      <c r="Q119" s="6">
        <v>1</v>
      </c>
      <c r="R119" s="6">
        <v>1</v>
      </c>
      <c r="S119" s="6">
        <v>8700</v>
      </c>
      <c r="T119" s="6">
        <f>Data_1[[#This Row],[سعر البيع ]]*Data_1[[#This Row],[جميع الكميات]]</f>
        <v>8700</v>
      </c>
      <c r="U119" s="6">
        <v>8700</v>
      </c>
      <c r="V119" s="8" t="s">
        <v>56</v>
      </c>
      <c r="W119" s="15">
        <v>45640</v>
      </c>
      <c r="X119" s="15">
        <v>45662</v>
      </c>
      <c r="Y119" s="15">
        <v>45655</v>
      </c>
      <c r="Z119" s="8" t="s">
        <v>67</v>
      </c>
      <c r="AA119" s="8" t="s">
        <v>28</v>
      </c>
      <c r="AB119" s="6">
        <v>7</v>
      </c>
      <c r="AC119" s="6" t="str">
        <f>TEXT(Data_1[[#This Row],[ميعاد الطلب]],"MMMM")</f>
        <v>December</v>
      </c>
      <c r="AD119" s="8" t="s">
        <v>49</v>
      </c>
    </row>
  </sheetData>
  <phoneticPr fontId="2"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A523-D545-4C38-8C0A-75DB67FF8473}">
  <sheetPr codeName="Sheet4">
    <tabColor rgb="FF00B0F0"/>
  </sheetPr>
  <dimension ref="V3:V16"/>
  <sheetViews>
    <sheetView topLeftCell="H1" workbookViewId="0">
      <selection activeCell="T10" sqref="T10"/>
    </sheetView>
  </sheetViews>
  <sheetFormatPr defaultRowHeight="14.4" x14ac:dyDescent="0.3"/>
  <cols>
    <col min="1" max="16384" width="8.88671875" style="2"/>
  </cols>
  <sheetData>
    <row r="3" spans="22:22" x14ac:dyDescent="0.3">
      <c r="V3" s="2" t="s">
        <v>219</v>
      </c>
    </row>
    <row r="4" spans="22:22" x14ac:dyDescent="0.3">
      <c r="V4" s="2" t="s">
        <v>220</v>
      </c>
    </row>
    <row r="6" spans="22:22" x14ac:dyDescent="0.3">
      <c r="V6" s="2" t="s">
        <v>221</v>
      </c>
    </row>
    <row r="7" spans="22:22" x14ac:dyDescent="0.3">
      <c r="V7" s="2" t="s">
        <v>222</v>
      </c>
    </row>
    <row r="8" spans="22:22" x14ac:dyDescent="0.3">
      <c r="V8" s="2" t="s">
        <v>223</v>
      </c>
    </row>
    <row r="9" spans="22:22" x14ac:dyDescent="0.3">
      <c r="V9" s="2" t="s">
        <v>224</v>
      </c>
    </row>
    <row r="10" spans="22:22" x14ac:dyDescent="0.3">
      <c r="V10" s="2" t="s">
        <v>225</v>
      </c>
    </row>
    <row r="11" spans="22:22" x14ac:dyDescent="0.3">
      <c r="V11" s="2" t="s">
        <v>226</v>
      </c>
    </row>
    <row r="12" spans="22:22" x14ac:dyDescent="0.3">
      <c r="V12" s="2" t="s">
        <v>227</v>
      </c>
    </row>
    <row r="13" spans="22:22" x14ac:dyDescent="0.3">
      <c r="V13" s="2" t="s">
        <v>228</v>
      </c>
    </row>
    <row r="14" spans="22:22" x14ac:dyDescent="0.3">
      <c r="V14" s="2" t="s">
        <v>229</v>
      </c>
    </row>
    <row r="15" spans="22:22" x14ac:dyDescent="0.3">
      <c r="V15" s="2" t="s">
        <v>230</v>
      </c>
    </row>
    <row r="16" spans="22:22" x14ac:dyDescent="0.3">
      <c r="V16" s="2" t="s">
        <v>231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CA9FD-D1B2-4BD0-AB2F-50A9D49A3D2B}">
  <sheetPr codeName="Sheet6"/>
  <dimension ref="B1"/>
  <sheetViews>
    <sheetView showGridLines="0" zoomScaleNormal="100" workbookViewId="0">
      <selection activeCell="X12" sqref="X12"/>
    </sheetView>
  </sheetViews>
  <sheetFormatPr defaultRowHeight="14.4" x14ac:dyDescent="0.3"/>
  <cols>
    <col min="1" max="16384" width="8.88671875" style="2"/>
  </cols>
  <sheetData>
    <row r="1" spans="2:2" x14ac:dyDescent="0.3">
      <c r="B1" s="2">
        <v>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48302-C075-4ED7-BDFD-9497BE2228F2}">
  <sheetPr codeName="Sheet2">
    <tabColor rgb="FFC00000"/>
  </sheetPr>
  <dimension ref="B1:C6"/>
  <sheetViews>
    <sheetView showGridLines="0" tabSelected="1" topLeftCell="B3" zoomScaleNormal="100" workbookViewId="0"/>
  </sheetViews>
  <sheetFormatPr defaultRowHeight="14.4" x14ac:dyDescent="0.3"/>
  <cols>
    <col min="1" max="16384" width="8.88671875" style="1"/>
  </cols>
  <sheetData>
    <row r="1" spans="2:3" x14ac:dyDescent="0.3">
      <c r="B1" s="1">
        <v>1</v>
      </c>
    </row>
    <row r="6" spans="2:3" x14ac:dyDescent="0.3">
      <c r="C6" s="1" t="s">
        <v>2</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9B4035A-B878-4899-92BB-B89D1694CC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 page</vt:lpstr>
      <vt:lpstr>Sheet1</vt:lpstr>
      <vt:lpstr>ask-question</vt:lpstr>
      <vt:lpstr>Data Source</vt:lpstr>
      <vt:lpstr>instructions</vt:lpstr>
      <vt:lpstr>Dashboard -Light</vt:lpstr>
      <vt:lpstr>Dashboard</vt:lpstr>
    </vt:vector>
  </TitlesOfParts>
  <Company>SACC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Nader Wahbaa</dc:creator>
  <cp:lastModifiedBy>Nader Wahbaa</cp:lastModifiedBy>
  <dcterms:created xsi:type="dcterms:W3CDTF">2025-12-29T10:08:12Z</dcterms:created>
  <dcterms:modified xsi:type="dcterms:W3CDTF">2026-08-13T13:20:41Z</dcterms:modified>
</cp:coreProperties>
</file>